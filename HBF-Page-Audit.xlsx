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tammymartin/Desktop/hbfwebsite/"/>
    </mc:Choice>
  </mc:AlternateContent>
  <xr:revisionPtr revIDLastSave="0" documentId="13_ncr:1_{5C02F31A-0446-0A4B-98C0-F9AB930A6872}" xr6:coauthVersionLast="47" xr6:coauthVersionMax="47" xr10:uidLastSave="{00000000-0000-0000-0000-000000000000}"/>
  <bookViews>
    <workbookView xWindow="0" yWindow="780" windowWidth="22920" windowHeight="16540" tabRatio="500" activeTab="1" xr2:uid="{00000000-000D-0000-FFFF-FFFF00000000}"/>
  </bookViews>
  <sheets>
    <sheet name="Page Audit" sheetId="1" r:id="rId1"/>
    <sheet name="Forms Inventory" sheetId="2" r:id="rId2"/>
    <sheet name="Drafts (14)" sheetId="3" r:id="rId3"/>
    <sheet name="Blog Posts (61)" sheetId="4" r:id="rId4"/>
    <sheet name="Key Findings" sheetId="5" r:id="rId5"/>
  </sheets>
  <definedNames>
    <definedName name="_xlnm._FilterDatabase" localSheetId="3" hidden="1">'Blog Posts (61)'!$A$2:$E$63</definedName>
    <definedName name="_xlnm._FilterDatabase" localSheetId="2" hidden="1">'Drafts (14)'!$A$2:$G$16</definedName>
    <definedName name="_xlnm._FilterDatabase" localSheetId="0" hidden="1">'Page Audit'!$A$2:$P$56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" i="1" l="1"/>
</calcChain>
</file>

<file path=xl/sharedStrings.xml><?xml version="1.0" encoding="utf-8"?>
<sst xmlns="http://schemas.openxmlformats.org/spreadsheetml/2006/main" count="891" uniqueCount="541">
  <si>
    <t>HBF Website — Page Audit v6 (54 published pages; Tammy newsletter context applied 2026-04-30)</t>
  </si>
  <si>
    <t>Action</t>
  </si>
  <si>
    <t>Slug</t>
  </si>
  <si>
    <t>ID</t>
  </si>
  <si>
    <t>Title</t>
  </si>
  <si>
    <t>Modified</t>
  </si>
  <si>
    <t>In Main Nav</t>
  </si>
  <si>
    <t>Parent</t>
  </si>
  <si>
    <t>Word Count</t>
  </si>
  <si>
    <t>Inbound (pages)</t>
  </si>
  <si>
    <t>Inbound Sources</t>
  </si>
  <si>
    <t>Inbound (posts)</t>
  </si>
  <si>
    <t>Outbound</t>
  </si>
  <si>
    <t>Page Builder</t>
  </si>
  <si>
    <t>Form</t>
  </si>
  <si>
    <t>External Deps</t>
  </si>
  <si>
    <t>Notes</t>
  </si>
  <si>
    <t>Mega-menu Column</t>
  </si>
  <si>
    <t>GA4 Views</t>
  </si>
  <si>
    <t>GA4 Landing Sessions</t>
  </si>
  <si>
    <t>GA4 Key Events</t>
  </si>
  <si>
    <t>KEEP (hub)</t>
  </si>
  <si>
    <t>contact</t>
  </si>
  <si>
    <t>Contact</t>
  </si>
  <si>
    <t>2025-09-25</t>
  </si>
  <si>
    <t>Yes (top-level)</t>
  </si>
  <si>
    <t>employee-group-benefits-plans, financial-resp-videos, financial-services, first-home-savings-account, group-savings-plans, heidi, heidi-blondin-financial-retirement-planning-videos, heidi-blondin-financial-videos-estate-planning-videos, home, individual-health-dental-plans, insurance, investments, registered-education-savings-plans, registered-retirement-savings-plans, tax-free-savings-accounts, travel-insurance, videos</t>
  </si>
  <si>
    <t>Classic editor</t>
  </si>
  <si>
    <t>Gravity Form #3</t>
  </si>
  <si>
    <t>Hub page — 17 inbound page links + in main nav</t>
  </si>
  <si>
    <t>critical-illness-insurance</t>
  </si>
  <si>
    <t>Critical Illness Insurance</t>
  </si>
  <si>
    <t>2025-10-15</t>
  </si>
  <si>
    <t>Yes (FS dropdown)</t>
  </si>
  <si>
    <t>financial-services</t>
  </si>
  <si>
    <t>financial-services, insurance, insurance-quote, joanne</t>
  </si>
  <si>
    <t>Gutenberg blocks</t>
  </si>
  <si>
    <t>staging subdomain refs</t>
  </si>
  <si>
    <t>Hub page — 4 inbound page links + in main nav</t>
  </si>
  <si>
    <t>Insurance</t>
  </si>
  <si>
    <t>disability-insurance</t>
  </si>
  <si>
    <t>Disability Insurance</t>
  </si>
  <si>
    <t>2016-06-13</t>
  </si>
  <si>
    <t>estate-planning</t>
  </si>
  <si>
    <t>Estate Planning</t>
  </si>
  <si>
    <t>client-resources, financial-services, segregated-fund</t>
  </si>
  <si>
    <t>Dropbox; staging subdomain refs</t>
  </si>
  <si>
    <t>Hub page — 3 inbound page links + in main nav</t>
  </si>
  <si>
    <t>Planning</t>
  </si>
  <si>
    <t>heidi</t>
  </si>
  <si>
    <t>(2022) About Us</t>
  </si>
  <si>
    <t>2025-11-27</t>
  </si>
  <si>
    <t>angela, jack, joanne, john</t>
  </si>
  <si>
    <t>Beaver Builder</t>
  </si>
  <si>
    <t>individual-health-dental-plans</t>
  </si>
  <si>
    <t>Individual Health and Dental Plans</t>
  </si>
  <si>
    <t>2019-10-16</t>
  </si>
  <si>
    <t>financial-services, insurance, joanne</t>
  </si>
  <si>
    <t>insurance-quote</t>
  </si>
  <si>
    <t>Request An Insurance Quote</t>
  </si>
  <si>
    <t>2025-09-17</t>
  </si>
  <si>
    <t>critical-illness-insurance, disability-insurance, financial-services, life-insurance</t>
  </si>
  <si>
    <t>Gravity Form #1</t>
  </si>
  <si>
    <t>Insurance (CTA)</t>
  </si>
  <si>
    <t>life-insurance</t>
  </si>
  <si>
    <t>Life Insurance: It’s Peace of Mind</t>
  </si>
  <si>
    <t>2025-09-24</t>
  </si>
  <si>
    <t>charitable_giving, financial-services, insurance, insurance-quote, joanne</t>
  </si>
  <si>
    <t>Hub page — 5 inbound page links + in main nav</t>
  </si>
  <si>
    <t>registered-education-savings-plans</t>
  </si>
  <si>
    <t>Registered Education Savings Plans</t>
  </si>
  <si>
    <t>2019-10-22</t>
  </si>
  <si>
    <t>financial-resp-videos, financial-services, videos</t>
  </si>
  <si>
    <t>Investing</t>
  </si>
  <si>
    <t>KEEP</t>
  </si>
  <si>
    <t>angela</t>
  </si>
  <si>
    <t>(2025) About Angela</t>
  </si>
  <si>
    <t>2025-08-14</t>
  </si>
  <si>
    <t>Yes (About dropdown)</t>
  </si>
  <si>
    <t>In main nav (About dropdown)</t>
  </si>
  <si>
    <t>blog</t>
  </si>
  <si>
    <t>Blog</t>
  </si>
  <si>
    <t>2020-04-02</t>
  </si>
  <si>
    <t>In main nav (top-level)</t>
  </si>
  <si>
    <t>charitable_giving</t>
  </si>
  <si>
    <t>Charitable Giving</t>
  </si>
  <si>
    <t>2025-09-30</t>
  </si>
  <si>
    <t>No</t>
  </si>
  <si>
    <t>client-resources, estate-planning, financial-services, retirement-income-planning, segregated-fund</t>
  </si>
  <si>
    <t>5 inbound body links (financial-services, estate-planning, retirement-income-planning, segregated-fund, client-resources). Not in main nav but well integrated.</t>
  </si>
  <si>
    <t>combination-insurance</t>
  </si>
  <si>
    <t>Combination Insurance</t>
  </si>
  <si>
    <t>2018-12-03</t>
  </si>
  <si>
    <t>insurance</t>
  </si>
  <si>
    <t>In main nav (FS dropdown)</t>
  </si>
  <si>
    <t>employee-group-benefits-plans</t>
  </si>
  <si>
    <t>Group Benefits and Savings</t>
  </si>
  <si>
    <t>2016-08-03</t>
  </si>
  <si>
    <t>joanne</t>
  </si>
  <si>
    <t>Financial Services</t>
  </si>
  <si>
    <t>2025-11-25</t>
  </si>
  <si>
    <t>insurance-submitted, whole-life-confirmation</t>
  </si>
  <si>
    <t>first-home-savings-account</t>
  </si>
  <si>
    <t>Saving for a Home with the Tax-Free First Home Savings Account (FHSA)</t>
  </si>
  <si>
    <t>2025-10-09</t>
  </si>
  <si>
    <t>group-savings-plans</t>
  </si>
  <si>
    <t>Group Retirement Savings Plans</t>
  </si>
  <si>
    <t>2019-09-24</t>
  </si>
  <si>
    <t>home</t>
  </si>
  <si>
    <t>Heidi Blondin Financial</t>
  </si>
  <si>
    <t>2025-08-19</t>
  </si>
  <si>
    <t>Site root</t>
  </si>
  <si>
    <t>Insurance Landing Page</t>
  </si>
  <si>
    <t>investments</t>
  </si>
  <si>
    <t>Investments</t>
  </si>
  <si>
    <t>2019-02-07</t>
  </si>
  <si>
    <t>jack</t>
  </si>
  <si>
    <t>(2025) About Jack</t>
  </si>
  <si>
    <t>2025-08-28</t>
  </si>
  <si>
    <t>(2025) About Joanne</t>
  </si>
  <si>
    <t>john</t>
  </si>
  <si>
    <t>(2025) About John</t>
  </si>
  <si>
    <t>registered-retirement-savings-plans</t>
  </si>
  <si>
    <t>Registered Retirement Savings Plans</t>
  </si>
  <si>
    <t>2020-02-24</t>
  </si>
  <si>
    <t>financial-services, tax-free-savings-accounts</t>
  </si>
  <si>
    <t>resources</t>
  </si>
  <si>
    <t>Resources</t>
  </si>
  <si>
    <t>2025-09-23</t>
  </si>
  <si>
    <t>retirement-income-planning</t>
  </si>
  <si>
    <t>segregated-fund</t>
  </si>
  <si>
    <t>What is a Segregated Fund?</t>
  </si>
  <si>
    <t>2025-11-06</t>
  </si>
  <si>
    <t>client-resources, financial-services</t>
  </si>
  <si>
    <t>tax-free-savings-accounts</t>
  </si>
  <si>
    <t>Tax Free Savings Accounts</t>
  </si>
  <si>
    <t>2025-09-02</t>
  </si>
  <si>
    <t>financial-services, registered-retirement-savings-plans</t>
  </si>
  <si>
    <t>testimonials</t>
  </si>
  <si>
    <t>Testimonials</t>
  </si>
  <si>
    <t>2025-07-14</t>
  </si>
  <si>
    <t>travel-insurance</t>
  </si>
  <si>
    <t>Travel Insurance</t>
  </si>
  <si>
    <t>2016-04-19</t>
  </si>
  <si>
    <t>financial-services, insurance</t>
  </si>
  <si>
    <t>TravelUnderwriters partner</t>
  </si>
  <si>
    <t>videos</t>
  </si>
  <si>
    <t>Heidi Blondin Financial Videos</t>
  </si>
  <si>
    <t>2023-04-06</t>
  </si>
  <si>
    <t>KEEP (newsletter LP)</t>
  </si>
  <si>
    <t>all-in-banking</t>
  </si>
  <si>
    <t>All in Banking Landing</t>
  </si>
  <si>
    <t>2020-01-03</t>
  </si>
  <si>
    <t>Traffic is from Heidi's quarterly client newsletter, not organic search (Tammy 2026-04-30). Leave as standalone LP — no mega-menu placement. Preserve URL on new site so old newsletter links resolve.</t>
  </si>
  <si>
    <t>KEEP (campaign LP)</t>
  </si>
  <si>
    <t>whole-life-insurance</t>
  </si>
  <si>
    <t>Whole Life Insurance Landing Page</t>
  </si>
  <si>
    <t>Campaign landing page — reached by ad, not internal nav</t>
  </si>
  <si>
    <t>Retirement Income Planning: Your Path to Peace of Mind </t>
  </si>
  <si>
    <t>2025-11-04</t>
  </si>
  <si>
    <t>client-resources</t>
  </si>
  <si>
    <t>FS mega-menu — Planning column (Tammy 2026-04-30, refining Heidi 2026-04-29 "near RRSP"). URL stays /retirement-income-planning/. Rewrite staging.heidiblondin.com img refs at migration. Confirm column placement with Heidi before launch.</t>
  </si>
  <si>
    <t>KEEP (unlinked)</t>
  </si>
  <si>
    <t>Resources for clients of Heidi Blondin Financial </t>
  </si>
  <si>
    <t>Calendly; staging subdomain refs</t>
  </si>
  <si>
    <t>Client-only — Heidi shares URL via newsletter (Heidi 2026-04-29). No password. Apply noindex/nofollow, exclude from sitemap, no public inbound links, embedded Calendly URL must not appear on any indexable page.</t>
  </si>
  <si>
    <t>KEEP (form action)</t>
  </si>
  <si>
    <t>contact-thank-you</t>
  </si>
  <si>
    <t>Thank you Contact us</t>
  </si>
  <si>
    <t>Form-success target — reachable via form submission</t>
  </si>
  <si>
    <t>insurance-submitted</t>
  </si>
  <si>
    <t>Thank you Insurance LP</t>
  </si>
  <si>
    <t>joanne-thank-you</t>
  </si>
  <si>
    <t>Thank you Joanne</t>
  </si>
  <si>
    <t>thank-you</t>
  </si>
  <si>
    <t>Thank You Insurance Quote</t>
  </si>
  <si>
    <t>whole-life-confirmation</t>
  </si>
  <si>
    <t>Thank you WL Insurance LP</t>
  </si>
  <si>
    <t>KEEP (footer)</t>
  </si>
  <si>
    <t>blog_disclaimer</t>
  </si>
  <si>
    <t>Blog Disclaimer</t>
  </si>
  <si>
    <t>2022-04-20</t>
  </si>
  <si>
    <t>Footer link</t>
  </si>
  <si>
    <t>privacy-policy</t>
  </si>
  <si>
    <t>2021-07-05</t>
  </si>
  <si>
    <t>website-compliance</t>
  </si>
  <si>
    <t>RETIRE</t>
  </si>
  <si>
    <t>intake</t>
  </si>
  <si>
    <t>Client Intake Form</t>
  </si>
  <si>
    <t>2020-06-24</t>
  </si>
  <si>
    <t>Hand-coded SalesForce Web-to-Lead</t>
  </si>
  <si>
    <t>SalesForce direct POST; reCAPTCHA</t>
  </si>
  <si>
    <t>Retire (Heidi 2026-04-29). Hand-coded SF Web-to-Lead duplicates qualification-call intake. 301 → /contact/. SIN field never carried forward regardless.</t>
  </si>
  <si>
    <t>REVIEW (Beaver Builder)</t>
  </si>
  <si>
    <t>insuranceprotection</t>
  </si>
  <si>
    <t>Why Insurance Protection Matters</t>
  </si>
  <si>
    <t>2025-08-12</t>
  </si>
  <si>
    <t>Content stored in wp_postmeta, NOT in CSV — needs separate extraction. Empty post_content.</t>
  </si>
  <si>
    <t>CONSOLIDATE</t>
  </si>
  <si>
    <t>financial-resp-videos</t>
  </si>
  <si>
    <t>Heidi Blondin Financial RESP Videos</t>
  </si>
  <si>
    <t>2019-12-11</t>
  </si>
  <si>
    <t>Video category page — fold into /videos/</t>
  </si>
  <si>
    <t>heidi-blondin-financial-financial-literacy-videos</t>
  </si>
  <si>
    <t>Heidi Blondin Financial Financial Literacy Videos</t>
  </si>
  <si>
    <t>Video category page — fold into single /videos/ page</t>
  </si>
  <si>
    <t>heidi-blondin-financial-retirement-planning-videos</t>
  </si>
  <si>
    <t>Heidi Blondin Financial Retirement Planning Videos</t>
  </si>
  <si>
    <t>2019-12-12</t>
  </si>
  <si>
    <t>heidi-blondin-financial-videos-estate-planning-videos</t>
  </si>
  <si>
    <t>Heidi Blondin Financial Videos Estate Planning Videos</t>
  </si>
  <si>
    <t>2020-03-20</t>
  </si>
  <si>
    <t>RETIRE (deleted)</t>
  </si>
  <si>
    <t>executor2</t>
  </si>
  <si>
    <t>So you've been named Executor...</t>
  </si>
  <si>
    <t>2022-06-20</t>
  </si>
  <si>
    <t>ALREADY DELETED from WP by Jack (Tammy 2026-04-30). Redirect map still needs 301 → /resources/ since 45 sessions/28mo were arriving here.</t>
  </si>
  <si>
    <t>KILL</t>
  </si>
  <si>
    <t>heidi3</t>
  </si>
  <si>
    <t>Why Us?</t>
  </si>
  <si>
    <t>2021-12-31</t>
  </si>
  <si>
    <t>FundEX (stale dealer)</t>
  </si>
  <si>
    <t>On confirmed kill list (scope locked 2026-04-20)</t>
  </si>
  <si>
    <t>test</t>
  </si>
  <si>
    <t>TEST</t>
  </si>
  <si>
    <t>2019-08-09</t>
  </si>
  <si>
    <t>KILL (empty)</t>
  </si>
  <si>
    <t>life-insurance-broker</t>
  </si>
  <si>
    <t>Life Insurance Broker</t>
  </si>
  <si>
    <t>2015-07-27</t>
  </si>
  <si>
    <t>No body content, no page builder data</t>
  </si>
  <si>
    <t>life-insurance-for-parents</t>
  </si>
  <si>
    <t>Life Insurance For Parents</t>
  </si>
  <si>
    <t>2014-11-05</t>
  </si>
  <si>
    <t>life-insurance-peace-of-mind</t>
  </si>
  <si>
    <t>Life Insurance For Peace of Mind</t>
  </si>
  <si>
    <t>Action Summary</t>
  </si>
  <si>
    <t>KEEP (needs IA)</t>
  </si>
  <si>
    <t>KEEP (private)</t>
  </si>
  <si>
    <t>REVIEW (kill?)</t>
  </si>
  <si>
    <t>TOTAL</t>
  </si>
  <si>
    <t>RETIRE (newsletter LP)</t>
  </si>
  <si>
    <t>fundex_merger</t>
  </si>
  <si>
    <t>Fundex/Investia Merger Announcement (2018)</t>
  </si>
  <si>
    <t>Was a newsletter announcement (Tammy 2026-04-30). 301 → /heidi/ — /heidi/ already mentions current Investia relationship.</t>
  </si>
  <si>
    <t>HBF Website — Forms Inventory (updated 2026-04-28 with Gravity Forms export)</t>
  </si>
  <si>
    <t>Page</t>
  </si>
  <si>
    <t>Fields</t>
  </si>
  <si>
    <t>Notification To</t>
  </si>
  <si>
    <t>Confirmation</t>
  </si>
  <si>
    <t>New-Site Plan</t>
  </si>
  <si>
    <t>/contact/</t>
  </si>
  <si>
    <t>Contact Heidi (GF #3)</t>
  </si>
  <si>
    <t>• Name (REQUIRED, first + last)
• Email (REQUIRED)
• Phone (REQUIRED)
• Questions/Comments (textarea)</t>
  </si>
  <si>
    <t>heidi@heidiblondin.com
[INACTIVE: webadmin@responseit.ca, marshall@allcareit.com]</t>
  </si>
  <si>
    <t>Inline message: "Thanks for contacting us! We will get in touch with you shortly."</t>
  </si>
  <si>
    <t>Cloudflare Pages Function → Resend → angela@ + jack@ (per Tammy 2026-04-28, pending double-check). Drop the inactive Allcare/responseit notifications. Add CASL consent checkbox. Add Turnstile.</t>
  </si>
  <si>
    <t>/insurance-quote/</t>
  </si>
  <si>
    <t>Request An Insurance Quote (GF #1)</t>
  </si>
  <si>
    <t>• Name (first + last)
• Insurance Type (Life / Life+CI / CI / Disability / Life-no-medical)
• Sex (Male/Female)
• Overall health (Excellent/Above avg/Average/Some health concerns)
• Date of Birth
• Amount of insurance required
• Smoke? (Yes/No)
• Email
• Phone
• Additional Comments
⚠ NOTE: All fields are currently optional in GF — fix in new build (require name, email, phone, type, DOB at minimum)</t>
  </si>
  <si>
    <t>heidi@heidiblondin.com</t>
  </si>
  <si>
    <t>Redirect to /thank-you/ (page ID 148)</t>
  </si>
  <si>
    <t>Cloudflare Pages Function → Resend → angela@ + jack@. Mark required fields. Add CASL consent. Add Turnstile. Confirmation page reused.</t>
  </si>
  <si>
    <t>/intake/</t>
  </si>
  <si>
    <t>Client Intake Form (hand-coded HTML, NOT Gravity Forms)</t>
  </si>
  <si>
    <t>• Hand-coded HTML form, POSTs directly to webto.salesforce.com/servlet/servlet.WebToLead
• Fields include: First Name, Last Name, Birth Date, SOCIAL INSURANCE NUMBER, Street, City, State/Province, etc.
• reCAPTCHA v2</t>
  </si>
  <si>
    <t>Direct POST to SalesForce</t>
  </si>
  <si>
    <t>SalesForce default</t>
  </si>
  <si>
    <t>⚠ AWAITING HEIDI DECISION: Tammy suspects unused. Likely retire entirely. If kept: drop SIN field, route to email like other forms (NO SF connection on new site per scope decision 2026-04-28).</t>
  </si>
  <si>
    <t>/travel-insurance/</t>
  </si>
  <si>
    <t>NO FORM — outbound link only</t>
  </si>
  <si>
    <t>Button → travelunderwriters.com/consumerexpress-app/...</t>
  </si>
  <si>
    <t>N/A</t>
  </si>
  <si>
    <t>External partner site</t>
  </si>
  <si>
    <t>No form. Page links out to TravelUnderwriters partner portal. Confirm partner URL still active during migration.</t>
  </si>
  <si>
    <t>(none — retired)</t>
  </si>
  <si>
    <t>Sign-UP (GF #2) — RETIRE</t>
  </si>
  <si>
    <t>• Name (first + last)
• Email
• Phone
• Comments/Questions</t>
  </si>
  <si>
    <t>Inline message</t>
  </si>
  <si>
    <t>Per scope (no public newsletter on new site). Retire form. /sign-up/ page is already in drafts.</t>
  </si>
  <si>
    <t>Workshop Registration (GF #4) — RETIRE</t>
  </si>
  <si>
    <t>• Name (REQUIRED, first + last)
• Email (REQUIRED)
• Phone (REQUIRED)
• Date radio (only option: "Date to be determined- Financial Fundamentals")</t>
  </si>
  <si>
    <t>Per Tammy 2026-04-28: no workshops planned. Retire form. Rebuild on demand if a workshop is scheduled.</t>
  </si>
  <si>
    <t>HBF Website — Draft Pages (14 drafts in WP)</t>
  </si>
  <si>
    <t>Recommendation</t>
  </si>
  <si>
    <t>DELETE</t>
  </si>
  <si>
    <t>Life Insurance in Kingston Ontario</t>
  </si>
  <si>
    <t>2016-07-12</t>
  </si>
  <si>
    <t>Old draft of life insurance page (2016). /life-insurance/ is the published version.</t>
  </si>
  <si>
    <t>sign-up</t>
  </si>
  <si>
    <t>Sign-Up</t>
  </si>
  <si>
    <t>No public newsletter signup per scope decision 2026-04-20</t>
  </si>
  <si>
    <t>heidi-2</t>
  </si>
  <si>
    <t>About Us</t>
  </si>
  <si>
    <t>Confirmed kill (scope locked 2026-04-20)</t>
  </si>
  <si>
    <t>blog-2</t>
  </si>
  <si>
    <t>(dup) Blog</t>
  </si>
  <si>
    <t>Duplicate Blog page</t>
  </si>
  <si>
    <t>Copy Of Heidi Blondin Financial</t>
  </si>
  <si>
    <t>WP "Copy to draft" duplicate — stale</t>
  </si>
  <si>
    <t>REVIEW</t>
  </si>
  <si>
    <t>CPP LANDING PAGE</t>
  </si>
  <si>
    <t>CPP landing page draft from 2020. Confirm if part of upcoming campaign or archive.</t>
  </si>
  <si>
    <t>2020-05-13</t>
  </si>
  <si>
    <t>825 Roshan Drive, Kingston, Ontario</t>
  </si>
  <si>
    <t>2020-08-24</t>
  </si>
  <si>
    <t>Address/location page — orphan from 2020.</t>
  </si>
  <si>
    <t>mortgage-options</t>
  </si>
  <si>
    <t>Mortgage Options</t>
  </si>
  <si>
    <t>2024-04-25</t>
  </si>
  <si>
    <t>Drafted 2024-04-25, never published. Ask Heidi if mortgage referrals are still in scope.</t>
  </si>
  <si>
    <t>heidi-copy</t>
  </si>
  <si>
    <t>(2025) About Us</t>
  </si>
  <si>
    <t>Duplicate About page — superseded by /heidi/</t>
  </si>
  <si>
    <t>Copy Of Insurance Landing Page</t>
  </si>
  <si>
    <t>2025-08-13</t>
  </si>
  <si>
    <t>segregated-funds</t>
  </si>
  <si>
    <t>Segregated Funds as an Efficient way to Transition Wealth and Avoid Probate Fees</t>
  </si>
  <si>
    <t>Variant of /segregated-fund/ (published 2025-11-06). Pick one canonical version.</t>
  </si>
  <si>
    <t>Elementor #2123</t>
  </si>
  <si>
    <t>2025-11-18</t>
  </si>
  <si>
    <t>Elementor template scratch — never used</t>
  </si>
  <si>
    <t>Copy Of Life Insurance: It’s Peace of Mind</t>
  </si>
  <si>
    <t>2025-11-05</t>
  </si>
  <si>
    <t>HBF Website — Published Blog Posts (61)</t>
  </si>
  <si>
    <t>the-most-underestimated-risk-in-retirement-planning-sickspan</t>
  </si>
  <si>
    <t>The Most Underestimated Risk in Retirement Planning: Sickspan</t>
  </si>
  <si>
    <t>2026-01-15</t>
  </si>
  <si>
    <t>mortgage-insurance-vs-life-insurance-what-you-need-to-know</t>
  </si>
  <si>
    <t>Mortgage Insurance vs. Life Insurance: What You Need to Know</t>
  </si>
  <si>
    <t>2025-10-22</t>
  </si>
  <si>
    <t>executor-essentials-navigating-your-responsibilities-with-confidence</t>
  </si>
  <si>
    <t>Executor Essentials: Navigating Your Responsibilities with Confidence </t>
  </si>
  <si>
    <t>financial-planning-for-new-grads-secure-your-future-today</t>
  </si>
  <si>
    <t>Financial Planning for New Grads: Secure Your Future Today</t>
  </si>
  <si>
    <t>2025-07-02</t>
  </si>
  <si>
    <t>maximize-your-oas-benefits-old-age-security-simplified</t>
  </si>
  <si>
    <t>Old Age Security Simplified</t>
  </si>
  <si>
    <t>2025-03-24</t>
  </si>
  <si>
    <t>boost-your-retirement-savings</t>
  </si>
  <si>
    <t>Maximize Your Retirement Savings: Essential Strategies for Financial Security</t>
  </si>
  <si>
    <t>2025-01-28</t>
  </si>
  <si>
    <t>how-to-easily-reduce-the-emotional-and-financial-burden-of-settling-your-estate1</t>
  </si>
  <si>
    <t>How to Easily Reduce the Emotional and Financial Burden of Settling Your Estate</t>
  </si>
  <si>
    <t>2025-01-08</t>
  </si>
  <si>
    <t>financial-planning-insights-2024-fidelity-retirement-report</t>
  </si>
  <si>
    <t>The Importance of Financial Planning: Insights from the 2024 Fidelity Retirement Report </t>
  </si>
  <si>
    <t>2024-12-18</t>
  </si>
  <si>
    <t>navigating-life-financial-waves-three-phases-life-insurance</t>
  </si>
  <si>
    <t>Navigating Life's Financial Waves: Unveiling the Three Phases of Life Insurance</t>
  </si>
  <si>
    <t>2024-05-06</t>
  </si>
  <si>
    <t>5-christmas-gift-ideas-to-help-keep-your-budget-on-track-this-year</t>
  </si>
  <si>
    <t>5 holiday gift ideas to help keep your budget on track this year</t>
  </si>
  <si>
    <t>2022-10-17</t>
  </si>
  <si>
    <t>health-legacy</t>
  </si>
  <si>
    <t>Your Health &amp; Wealth Legacy  #HealthIsWealth</t>
  </si>
  <si>
    <t>2022-08-23</t>
  </si>
  <si>
    <t>2022-06-27</t>
  </si>
  <si>
    <t>diane</t>
  </si>
  <si>
    <t>Happy Retirement Diane!</t>
  </si>
  <si>
    <t>2022-06-23</t>
  </si>
  <si>
    <t>welcome-back-diane</t>
  </si>
  <si>
    <t>Welcome Back Diane!</t>
  </si>
  <si>
    <t>hiring</t>
  </si>
  <si>
    <t>Join Our Team</t>
  </si>
  <si>
    <t>2022-05-10</t>
  </si>
  <si>
    <t>healthiswealth</t>
  </si>
  <si>
    <t>What I Learned from my Parents  #HealthIsWealth</t>
  </si>
  <si>
    <t>fhsa</t>
  </si>
  <si>
    <t>Saving for your first home just got a little easier…</t>
  </si>
  <si>
    <t>three-thumbs-up</t>
  </si>
  <si>
    <t>Three thumbs up!</t>
  </si>
  <si>
    <t>2022-03-31</t>
  </si>
  <si>
    <t>choosing-an-executor</t>
  </si>
  <si>
    <t>Choosing an Executor</t>
  </si>
  <si>
    <t>2021-11-24</t>
  </si>
  <si>
    <t>Merger: FundEX and Investia</t>
  </si>
  <si>
    <t>shop-better-eat-better-in-2020-part-one</t>
  </si>
  <si>
    <t>Shop Better, Eat Better in 2020 Part One</t>
  </si>
  <si>
    <t>2020-03-24</t>
  </si>
  <si>
    <t>shop-better-eat-better-in-2020-part-two</t>
  </si>
  <si>
    <t>Shop Better, Eat Better in 2020 Part Two</t>
  </si>
  <si>
    <t>shop-better-eat-better-in-2020-part-three</t>
  </si>
  <si>
    <t>Shop Better, Eat Better in 2020 Part Three</t>
  </si>
  <si>
    <t>shop-better-eat-better-in-2020-part-four</t>
  </si>
  <si>
    <t>Shop Better, Eat Better in 2020 Part Four</t>
  </si>
  <si>
    <t>keep-more-of-your-money-so-you-can-give-more-of-it-away</t>
  </si>
  <si>
    <t>Keep more of your money so you can give more of it away</t>
  </si>
  <si>
    <t>2020-03-19</t>
  </si>
  <si>
    <t>shop-better-eat-better-in-2020-part-five</t>
  </si>
  <si>
    <t>Shop Better, Eat Better in 2020 Part Five</t>
  </si>
  <si>
    <t>2020-03-05</t>
  </si>
  <si>
    <t>30daychallenge</t>
  </si>
  <si>
    <t>Spend Better, Live Better in 2020 Using Our 30-Day Challenge</t>
  </si>
  <si>
    <t>2020-01-07</t>
  </si>
  <si>
    <t>holiday-shopping-challenge</t>
  </si>
  <si>
    <t>Holiday Shopping Challenge</t>
  </si>
  <si>
    <t>2019-12-23</t>
  </si>
  <si>
    <t>welcome-to-our-new-office</t>
  </si>
  <si>
    <t>Welcome to our new Office!</t>
  </si>
  <si>
    <t>2019-01-26</t>
  </si>
  <si>
    <t>new-video-series</t>
  </si>
  <si>
    <t>New Video Series - Why I do what I do...</t>
  </si>
  <si>
    <t>2019-01-13</t>
  </si>
  <si>
    <t>start-saving-retirement</t>
  </si>
  <si>
    <t>When should I start saving for Retirement?</t>
  </si>
  <si>
    <t>can-retire-confidence</t>
  </si>
  <si>
    <t>How can I retire with Confidence?</t>
  </si>
  <si>
    <t>plan-retirement-income</t>
  </si>
  <si>
    <t>How do I plan my Retirement Income?</t>
  </si>
  <si>
    <t>start-taking-cpp</t>
  </si>
  <si>
    <t>When should I start taking CPP?</t>
  </si>
  <si>
    <t>executor-protection</t>
  </si>
  <si>
    <t>How to protect your Estate Executor</t>
  </si>
  <si>
    <t>top-3-rated-financial-services-kingston</t>
  </si>
  <si>
    <t>Top Rated Financial Services Practice in Kingston, Ontario</t>
  </si>
  <si>
    <t>2019-01-09</t>
  </si>
  <si>
    <t>savings-strategies</t>
  </si>
  <si>
    <t>Savings Strategies</t>
  </si>
  <si>
    <t>new-years-resolutions</t>
  </si>
  <si>
    <t>New Year's Resolutions</t>
  </si>
  <si>
    <t>taking-tfsa-limit</t>
  </si>
  <si>
    <t>Taking your TFSA to the Limit</t>
  </si>
  <si>
    <t>gift-ideas-children-grandchildren</t>
  </si>
  <si>
    <t>Gift Ideas for Children and Grandchildren</t>
  </si>
  <si>
    <t>2015-tax-free-savings-account-tips</t>
  </si>
  <si>
    <t>2015 Tax Free Savings Account Tips</t>
  </si>
  <si>
    <t>proposed-changes-tfsa-limits-minimum-rif-withdrawal-rates</t>
  </si>
  <si>
    <t>Proposed Changes to TFSA limits and Minimum RIF Withdrawal Rates</t>
  </si>
  <si>
    <t>women-wealth-workshops</t>
  </si>
  <si>
    <t>Women and Wealth Workshops</t>
  </si>
  <si>
    <t>budgeting-can-fun</t>
  </si>
  <si>
    <t>Budgeting can be Fun!</t>
  </si>
  <si>
    <t>women-wealth-get-drivers-seat</t>
  </si>
  <si>
    <t>Women and Wealth - Get in the Driver's Seat</t>
  </si>
  <si>
    <t>life-insurance-isnt-something-set-forget</t>
  </si>
  <si>
    <t>Life Insurance Isn’t Something You Should Set and Forget</t>
  </si>
  <si>
    <t>mortgage-protection-not-best-option</t>
  </si>
  <si>
    <t>Why Mortgage Protection is NOT the best option</t>
  </si>
  <si>
    <t>baby-steps-protect-family</t>
  </si>
  <si>
    <t>Baby Steps to Protect your Family</t>
  </si>
  <si>
    <t>much-need-save-retirement</t>
  </si>
  <si>
    <t>How much do I need to save for retirement?</t>
  </si>
  <si>
    <t>working</t>
  </si>
  <si>
    <t>Working With My Mom</t>
  </si>
  <si>
    <t>socially-responsible-investing</t>
  </si>
  <si>
    <t>Socially Responsible Investing</t>
  </si>
  <si>
    <t>the-office-life</t>
  </si>
  <si>
    <t>The Office Life</t>
  </si>
  <si>
    <t>readers-choice-award</t>
  </si>
  <si>
    <t>Reader's Choice Award - Financial Planner Category</t>
  </si>
  <si>
    <t>teaching-kids-financial-facts-life</t>
  </si>
  <si>
    <t>Teaching Kids the Financial Facts of Life</t>
  </si>
  <si>
    <t>now-certified</t>
  </si>
  <si>
    <t>Introducing Heidi Blondin, Certified Financial Planner</t>
  </si>
  <si>
    <t>introducing-angela-mccann</t>
  </si>
  <si>
    <t>Introducing Angela McCann</t>
  </si>
  <si>
    <t>now-open-new-belleville-office</t>
  </si>
  <si>
    <t>Now Open - New Belleville Office</t>
  </si>
  <si>
    <t>bronze-winner</t>
  </si>
  <si>
    <t>And the winner is... Heidi Blondin Financial</t>
  </si>
  <si>
    <t>top-5-tips-holidays-budget</t>
  </si>
  <si>
    <t>Best 5 Tips for doing the Canadian Holiday Season on a Budget</t>
  </si>
  <si>
    <t>tax-free-savings-account</t>
  </si>
  <si>
    <t>TFSA limit for 2019 released</t>
  </si>
  <si>
    <t>2018-11-29</t>
  </si>
  <si>
    <t>what-is-a-financial-planner</t>
  </si>
  <si>
    <t>What is a Financial Planner?</t>
  </si>
  <si>
    <t>2017-08-21</t>
  </si>
  <si>
    <t>HBF Website — Key Findings (digest, v2 2026-04-28)</t>
  </si>
  <si>
    <t>Total published pages</t>
  </si>
  <si>
    <t>54 (matches sitemap)</t>
  </si>
  <si>
    <t>Total draft pages</t>
  </si>
  <si>
    <t>14 (most stale duplicates or scope-killed)</t>
  </si>
  <si>
    <t>Total published blog posts</t>
  </si>
  <si>
    <t>61</t>
  </si>
  <si>
    <t>Pages confirmed in main nav</t>
  </si>
  <si>
    <t>29 (8 top-level, 17 FS dropdown, 4 About dropdown)</t>
  </si>
  <si>
    <t>Pages NOT in main nav</t>
  </si>
  <si>
    <t>25 (form-action, footer, campaign LPs, kills, video children, orphans)</t>
  </si>
  <si>
    <t>Confirmed orphans (need decisions)</t>
  </si>
  <si>
    <t xml:space="preserve">  • client-resources (ID 2142)</t>
  </si>
  <si>
    <t>Newest page (2025-11-27). Calendly references inside. Awaiting Heidi: public, gated, or retire?</t>
  </si>
  <si>
    <t xml:space="preserve">  • retirement-income-planning (ID 2108)</t>
  </si>
  <si>
    <t>Only 1 inbound link (from also-orphaned client-resources). Awaiting Heidi: nav placement.</t>
  </si>
  <si>
    <t xml:space="preserve">  • insuranceprotection (ID 1687)</t>
  </si>
  <si>
    <t>Beaver Builder content stored in wp_postmeta — needs separate extraction to assess.</t>
  </si>
  <si>
    <t xml:space="preserve">  • intake (ID 1292)</t>
  </si>
  <si>
    <t>Hand-coded SalesForce form. Tammy suspects unused. Awaiting Heidi confirmation.</t>
  </si>
  <si>
    <t>Forms (locked 2026-04-28 with GF export)</t>
  </si>
  <si>
    <t xml:space="preserve">  • Contact (GF #3)</t>
  </si>
  <si>
    <t>4 fields, all required. Standard rebuild via Cloudflare Pages Function + Resend.</t>
  </si>
  <si>
    <t xml:space="preserve">  • Insurance Quote (GF #1)</t>
  </si>
  <si>
    <t>10 fields including health questions, all currently optional. Fix required-fields in new build.</t>
  </si>
  <si>
    <t xml:space="preserve">  • Sign-UP (GF #2)</t>
  </si>
  <si>
    <t>RETIRE — no public newsletter per scope.</t>
  </si>
  <si>
    <t xml:space="preserve">  • Workshop Registration (GF #4)</t>
  </si>
  <si>
    <t>RETIRE — no workshops planned per Tammy 2026-04-28.</t>
  </si>
  <si>
    <t xml:space="preserve">  • Intake form</t>
  </si>
  <si>
    <t>Pending Heidi (kill / strip / keep).</t>
  </si>
  <si>
    <t xml:space="preserve">  • Travel Insurance</t>
  </si>
  <si>
    <t>NOT a form — outbound link to TravelUnderwriters partner portal.</t>
  </si>
  <si>
    <t xml:space="preserve">  • Notification recipients (new site)</t>
  </si>
  <si>
    <t>angela@ + jack@ (provisional, Tammy to verify). Drop heidi@-only routing. Drop inactive Allcare/responseit test notifications.</t>
  </si>
  <si>
    <t>Page builder dependencies</t>
  </si>
  <si>
    <t xml:space="preserve">  • Beaver Builder</t>
  </si>
  <si>
    <t>Active on /insuranceprotection/ — content 100% in wp_postmeta. Likely on others; only verifiable via wp_postmeta export.</t>
  </si>
  <si>
    <t xml:space="preserve">  • Elementor</t>
  </si>
  <si>
    <t>One unused template draft only. Safe to ignore.</t>
  </si>
  <si>
    <t xml:space="preserve">  • Gutenberg blocks</t>
  </si>
  <si>
    <t>Used on /whole-life-insurance/ and other recent landing pages — clean migration to MDX.</t>
  </si>
  <si>
    <t xml:space="preserve">  • Classic editor</t>
  </si>
  <si>
    <t>Most older content — straightforward conversion.</t>
  </si>
  <si>
    <t>Content debt to clean up at migration</t>
  </si>
  <si>
    <t xml:space="preserve">  • staging.heidiblondin.com URLs</t>
  </si>
  <si>
    <t>Image src attributes on /whole-life-insurance/ point to staging subdomain. Rewrite at migration.</t>
  </si>
  <si>
    <t xml:space="preserve">  • FundEX references</t>
  </si>
  <si>
    <t>/heidi3/ contains stale dealer name. On kill list.</t>
  </si>
  <si>
    <t xml:space="preserve">  • Dropbox-hosted resources</t>
  </si>
  <si>
    <t>/resources/ and /estate-planning/ link to Dropbox. Re-host on Cloudflare Pages /downloads/.</t>
  </si>
  <si>
    <t xml:space="preserve">  • SEO landing stubs</t>
  </si>
  <si>
    <t>3 empty Beaver Builder pages slated for KILL.</t>
  </si>
  <si>
    <t>Confirmed kill list</t>
  </si>
  <si>
    <t xml:space="preserve">  • /test/, /heidi3/, /executor2/</t>
  </si>
  <si>
    <t>From scope decisions 2026-04-20</t>
  </si>
  <si>
    <t xml:space="preserve">  • /heidi-2/ (draft) + 4 "Copy of..." drafts + Elementor #2123 draft + /sign-up/ draft + 2-3 stale 2020 drafts</t>
  </si>
  <si>
    <t>See Drafts sheet</t>
  </si>
  <si>
    <t>— Heidi decisions 2026-04-29 —</t>
  </si>
  <si>
    <t>Intake form</t>
  </si>
  <si>
    <t>Retire — duplicates qualification-call intake.</t>
  </si>
  <si>
    <t>Client Resources</t>
  </si>
  <si>
    <t>Keep, unlinked. URL shared via client newsletter. No password; protect via noindex + sitemap exclusion + no public inbound links.</t>
  </si>
  <si>
    <t>Retirement Income Planning</t>
  </si>
  <si>
    <t>Add to Financial Services dropdown next to RRSP. URL stays /retirement-income-planning/.</t>
  </si>
  <si>
    <t>— IA decision 2026-04-30 (Tammy) —</t>
  </si>
  <si>
    <t>FS dropdown</t>
  </si>
  <si>
    <t>Replace flat 17-item dropdown with 3-column mega-menu: Investing / Insurance / Planning. See §3.4 of requirements doc and "Mega-menu Column" column on Page Audit sheet.</t>
  </si>
  <si>
    <t>RIP placement refined</t>
  </si>
  <si>
    <t>Moved from "next to RRSP" (flat dropdown) to "Planning column" (mega-menu). Visual proximity preserved via adjacent Investing column. Confirm with Heidi before launch.</t>
  </si>
  <si>
    <t>https://heidiblondin.com/insurance/</t>
  </si>
  <si>
    <t>/life-insurance/thank-you/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</si>
</sst>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2"/>
      <color rgb="FF8C8C8C"/>
      <name val="Courier New"/>
      <family val="1"/>
    </font>
  </fonts>
  <fills count="1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86EFAC"/>
        <bgColor rgb="FFBBF7D0"/>
      </patternFill>
    </fill>
    <fill>
      <patternFill patternType="solid">
        <fgColor rgb="FFBBF7D0"/>
        <bgColor rgb="FFD1FAE5"/>
      </patternFill>
    </fill>
    <fill>
      <patternFill patternType="solid">
        <fgColor rgb="FFD1FAE5"/>
        <bgColor rgb="FFDCFCE7"/>
      </patternFill>
    </fill>
    <fill>
      <patternFill patternType="solid">
        <fgColor rgb="FFDCFCE7"/>
        <bgColor rgb="FFD1FAE5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  <fill>
      <patternFill patternType="solid">
        <fgColor rgb="FFFED7AA"/>
        <bgColor rgb="FFFEE2E2"/>
      </patternFill>
    </fill>
    <fill>
      <patternFill patternType="solid">
        <fgColor rgb="FFE9D5FF"/>
        <bgColor rgb="FFE0E7FF"/>
      </patternFill>
    </fill>
    <fill>
      <patternFill patternType="solid">
        <fgColor rgb="FFE0E7FF"/>
        <bgColor rgb="FFE9D5FF"/>
      </patternFill>
    </fill>
    <fill>
      <patternFill patternType="solid">
        <fgColor rgb="FFFCA5A5"/>
        <bgColor rgb="FFFF8080"/>
      </patternFill>
    </fill>
    <fill>
      <patternFill patternType="solid">
        <fgColor rgb="FFFCD34D"/>
        <bgColor rgb="FFFED7AA"/>
      </patternFill>
    </fill>
    <fill>
      <patternFill patternType="solid">
        <fgColor rgb="FF525252"/>
        <bgColor rgb="FF333399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left" vertical="top" wrapText="1"/>
    </xf>
    <xf numFmtId="0" fontId="3" fillId="13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left" vertical="top" wrapText="1"/>
    </xf>
    <xf numFmtId="0" fontId="2" fillId="2" borderId="0" xfId="0" applyFont="1" applyFill="1"/>
    <xf numFmtId="0" fontId="3" fillId="3" borderId="0" xfId="0" applyFont="1" applyFill="1"/>
    <xf numFmtId="0" fontId="3" fillId="0" borderId="0" xfId="0" applyFont="1"/>
    <xf numFmtId="0" fontId="3" fillId="6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4" fillId="14" borderId="0" xfId="0" applyFont="1" applyFill="1"/>
    <xf numFmtId="0" fontId="5" fillId="0" borderId="0" xfId="0" applyFont="1"/>
    <xf numFmtId="0" fontId="3" fillId="15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E2E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9D5FF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BF7D0"/>
      <rgbColor rgb="FFD1FAE5"/>
      <rgbColor rgb="FFF3F4F6"/>
      <rgbColor rgb="FF86EFAC"/>
      <rgbColor rgb="FFFCA5A5"/>
      <rgbColor rgb="FFE0E7FF"/>
      <rgbColor rgb="FFFED7AA"/>
      <rgbColor rgb="FF3366FF"/>
      <rgbColor rgb="FF33CCCC"/>
      <rgbColor rgb="FF99CC00"/>
      <rgbColor rgb="FFFCD34D"/>
      <rgbColor rgb="FFFF9900"/>
      <rgbColor rgb="FFFF6600"/>
      <rgbColor rgb="FF52525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P1"/>
    </sheetView>
  </sheetViews>
  <sheetFormatPr baseColWidth="10" defaultColWidth="8.6640625" defaultRowHeight="15" x14ac:dyDescent="0.2"/>
  <cols>
    <col min="1" max="1" width="22" customWidth="1"/>
    <col min="2" max="2" width="35" customWidth="1"/>
    <col min="3" max="3" width="6" customWidth="1"/>
    <col min="4" max="4" width="38" customWidth="1"/>
    <col min="5" max="5" width="11" customWidth="1"/>
    <col min="6" max="7" width="18" customWidth="1"/>
    <col min="8" max="8" width="10" customWidth="1"/>
    <col min="9" max="9" width="11" customWidth="1"/>
    <col min="10" max="10" width="30" customWidth="1"/>
    <col min="11" max="11" width="10" customWidth="1"/>
    <col min="12" max="12" width="9" customWidth="1"/>
    <col min="13" max="13" width="18" customWidth="1"/>
    <col min="14" max="14" width="20" customWidth="1"/>
    <col min="15" max="15" width="28" customWidth="1"/>
    <col min="16" max="16" width="50" customWidth="1"/>
  </cols>
  <sheetData>
    <row r="1" spans="1:20" ht="27.75" customHeight="1" x14ac:dyDescent="0.2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20" ht="31.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t="s">
        <v>18</v>
      </c>
      <c r="S2" t="s">
        <v>19</v>
      </c>
      <c r="T2" t="s">
        <v>20</v>
      </c>
    </row>
    <row r="3" spans="1:20" ht="147" customHeight="1" x14ac:dyDescent="0.2">
      <c r="A3" s="2" t="s">
        <v>21</v>
      </c>
      <c r="B3" s="3" t="s">
        <v>22</v>
      </c>
      <c r="C3" s="3">
        <v>161</v>
      </c>
      <c r="D3" s="3" t="s">
        <v>23</v>
      </c>
      <c r="E3" s="3" t="s">
        <v>24</v>
      </c>
      <c r="F3" s="4" t="s">
        <v>25</v>
      </c>
      <c r="G3" s="3"/>
      <c r="H3" s="3">
        <v>32</v>
      </c>
      <c r="I3" s="3">
        <v>17</v>
      </c>
      <c r="J3" s="3" t="s">
        <v>26</v>
      </c>
      <c r="K3" s="3">
        <v>9</v>
      </c>
      <c r="L3" s="3">
        <v>0</v>
      </c>
      <c r="M3" s="3" t="s">
        <v>27</v>
      </c>
      <c r="N3" s="3" t="s">
        <v>28</v>
      </c>
      <c r="O3" s="3"/>
      <c r="P3" s="3" t="s">
        <v>29</v>
      </c>
      <c r="R3">
        <v>1010</v>
      </c>
      <c r="S3">
        <v>295</v>
      </c>
      <c r="T3">
        <v>103</v>
      </c>
    </row>
    <row r="4" spans="1:20" ht="23.75" customHeight="1" x14ac:dyDescent="0.2">
      <c r="A4" s="2" t="s">
        <v>21</v>
      </c>
      <c r="B4" s="3" t="s">
        <v>30</v>
      </c>
      <c r="C4" s="3">
        <v>175</v>
      </c>
      <c r="D4" s="3" t="s">
        <v>31</v>
      </c>
      <c r="E4" s="3" t="s">
        <v>32</v>
      </c>
      <c r="F4" s="5" t="s">
        <v>33</v>
      </c>
      <c r="G4" s="3" t="s">
        <v>34</v>
      </c>
      <c r="H4" s="3">
        <v>498</v>
      </c>
      <c r="I4" s="3">
        <v>4</v>
      </c>
      <c r="J4" s="3" t="s">
        <v>35</v>
      </c>
      <c r="K4" s="3">
        <v>0</v>
      </c>
      <c r="L4" s="3">
        <v>3</v>
      </c>
      <c r="M4" s="3" t="s">
        <v>36</v>
      </c>
      <c r="N4" s="3"/>
      <c r="O4" s="3" t="s">
        <v>37</v>
      </c>
      <c r="P4" s="3" t="s">
        <v>38</v>
      </c>
      <c r="Q4" t="s">
        <v>39</v>
      </c>
      <c r="R4">
        <v>87</v>
      </c>
      <c r="S4">
        <v>28</v>
      </c>
      <c r="T4">
        <v>4</v>
      </c>
    </row>
    <row r="5" spans="1:20" ht="23.75" customHeight="1" x14ac:dyDescent="0.2">
      <c r="A5" s="2" t="s">
        <v>21</v>
      </c>
      <c r="B5" s="3" t="s">
        <v>40</v>
      </c>
      <c r="C5" s="3">
        <v>190</v>
      </c>
      <c r="D5" s="3" t="s">
        <v>41</v>
      </c>
      <c r="E5" s="3" t="s">
        <v>42</v>
      </c>
      <c r="F5" s="5" t="s">
        <v>33</v>
      </c>
      <c r="G5" s="3" t="s">
        <v>34</v>
      </c>
      <c r="H5" s="3">
        <v>127</v>
      </c>
      <c r="I5" s="3">
        <v>4</v>
      </c>
      <c r="J5" s="3" t="s">
        <v>35</v>
      </c>
      <c r="K5" s="3">
        <v>1</v>
      </c>
      <c r="L5" s="3">
        <v>2</v>
      </c>
      <c r="M5" s="3" t="s">
        <v>27</v>
      </c>
      <c r="N5" s="3"/>
      <c r="O5" s="3"/>
      <c r="P5" s="3" t="s">
        <v>38</v>
      </c>
      <c r="Q5" t="s">
        <v>39</v>
      </c>
      <c r="R5">
        <v>33</v>
      </c>
      <c r="S5">
        <v>13</v>
      </c>
      <c r="T5">
        <v>0</v>
      </c>
    </row>
    <row r="6" spans="1:20" ht="23.75" customHeight="1" x14ac:dyDescent="0.2">
      <c r="A6" s="2" t="s">
        <v>21</v>
      </c>
      <c r="B6" s="3" t="s">
        <v>43</v>
      </c>
      <c r="C6" s="3">
        <v>2010</v>
      </c>
      <c r="D6" s="3" t="s">
        <v>44</v>
      </c>
      <c r="E6" s="3" t="s">
        <v>32</v>
      </c>
      <c r="F6" s="5" t="s">
        <v>33</v>
      </c>
      <c r="G6" s="3" t="s">
        <v>34</v>
      </c>
      <c r="H6" s="3">
        <v>1236</v>
      </c>
      <c r="I6" s="3">
        <v>3</v>
      </c>
      <c r="J6" s="3" t="s">
        <v>45</v>
      </c>
      <c r="K6" s="3">
        <v>1</v>
      </c>
      <c r="L6" s="3">
        <v>9</v>
      </c>
      <c r="M6" s="3" t="s">
        <v>36</v>
      </c>
      <c r="N6" s="3"/>
      <c r="O6" s="3" t="s">
        <v>46</v>
      </c>
      <c r="P6" s="3" t="s">
        <v>47</v>
      </c>
      <c r="Q6" t="s">
        <v>48</v>
      </c>
      <c r="R6">
        <v>46</v>
      </c>
      <c r="S6">
        <v>14</v>
      </c>
      <c r="T6">
        <v>0</v>
      </c>
    </row>
    <row r="7" spans="1:20" ht="15" customHeight="1" x14ac:dyDescent="0.2">
      <c r="A7" s="2" t="s">
        <v>21</v>
      </c>
      <c r="B7" s="3" t="s">
        <v>49</v>
      </c>
      <c r="C7" s="3">
        <v>1364</v>
      </c>
      <c r="D7" s="3" t="s">
        <v>50</v>
      </c>
      <c r="E7" s="3" t="s">
        <v>51</v>
      </c>
      <c r="F7" s="4" t="s">
        <v>25</v>
      </c>
      <c r="G7" s="3"/>
      <c r="H7" s="3">
        <v>308</v>
      </c>
      <c r="I7" s="3">
        <v>4</v>
      </c>
      <c r="J7" s="3" t="s">
        <v>52</v>
      </c>
      <c r="K7" s="3">
        <v>0</v>
      </c>
      <c r="L7" s="3">
        <v>4</v>
      </c>
      <c r="M7" s="3" t="s">
        <v>53</v>
      </c>
      <c r="N7" s="3"/>
      <c r="O7" s="3" t="s">
        <v>37</v>
      </c>
      <c r="P7" s="3" t="s">
        <v>38</v>
      </c>
      <c r="R7">
        <v>1162</v>
      </c>
      <c r="S7">
        <v>235</v>
      </c>
      <c r="T7">
        <v>113</v>
      </c>
    </row>
    <row r="8" spans="1:20" ht="15" customHeight="1" x14ac:dyDescent="0.2">
      <c r="A8" s="2" t="s">
        <v>21</v>
      </c>
      <c r="B8" s="3" t="s">
        <v>54</v>
      </c>
      <c r="C8" s="3">
        <v>194</v>
      </c>
      <c r="D8" s="3" t="s">
        <v>55</v>
      </c>
      <c r="E8" s="3" t="s">
        <v>56</v>
      </c>
      <c r="F8" s="5" t="s">
        <v>33</v>
      </c>
      <c r="G8" s="3" t="s">
        <v>34</v>
      </c>
      <c r="H8" s="3">
        <v>206</v>
      </c>
      <c r="I8" s="3">
        <v>3</v>
      </c>
      <c r="J8" s="3" t="s">
        <v>57</v>
      </c>
      <c r="K8" s="3">
        <v>0</v>
      </c>
      <c r="L8" s="3">
        <v>1</v>
      </c>
      <c r="M8" s="3" t="s">
        <v>27</v>
      </c>
      <c r="N8" s="3"/>
      <c r="O8" s="3"/>
      <c r="P8" s="3" t="s">
        <v>47</v>
      </c>
      <c r="Q8" t="s">
        <v>39</v>
      </c>
      <c r="R8">
        <v>55</v>
      </c>
      <c r="S8">
        <v>14</v>
      </c>
      <c r="T8">
        <v>9</v>
      </c>
    </row>
    <row r="9" spans="1:20" ht="35" customHeight="1" x14ac:dyDescent="0.2">
      <c r="A9" s="2" t="s">
        <v>21</v>
      </c>
      <c r="B9" s="3" t="s">
        <v>58</v>
      </c>
      <c r="C9" s="3">
        <v>195</v>
      </c>
      <c r="D9" s="3" t="s">
        <v>59</v>
      </c>
      <c r="E9" s="3" t="s">
        <v>60</v>
      </c>
      <c r="F9" s="5" t="s">
        <v>33</v>
      </c>
      <c r="G9" s="3" t="s">
        <v>34</v>
      </c>
      <c r="H9" s="3">
        <v>108</v>
      </c>
      <c r="I9" s="3">
        <v>4</v>
      </c>
      <c r="J9" s="3" t="s">
        <v>61</v>
      </c>
      <c r="K9" s="3">
        <v>2</v>
      </c>
      <c r="L9" s="3">
        <v>3</v>
      </c>
      <c r="M9" s="3" t="s">
        <v>27</v>
      </c>
      <c r="N9" s="3" t="s">
        <v>62</v>
      </c>
      <c r="O9" s="3" t="s">
        <v>37</v>
      </c>
      <c r="P9" s="3" t="s">
        <v>38</v>
      </c>
      <c r="Q9" t="s">
        <v>63</v>
      </c>
      <c r="R9">
        <v>57</v>
      </c>
      <c r="S9">
        <v>11</v>
      </c>
      <c r="T9">
        <v>6</v>
      </c>
    </row>
    <row r="10" spans="1:20" ht="23.75" customHeight="1" x14ac:dyDescent="0.2">
      <c r="A10" s="2" t="s">
        <v>21</v>
      </c>
      <c r="B10" s="3" t="s">
        <v>64</v>
      </c>
      <c r="C10" s="3">
        <v>173</v>
      </c>
      <c r="D10" s="3" t="s">
        <v>65</v>
      </c>
      <c r="E10" s="3" t="s">
        <v>66</v>
      </c>
      <c r="F10" s="5" t="s">
        <v>33</v>
      </c>
      <c r="G10" s="3" t="s">
        <v>34</v>
      </c>
      <c r="H10" s="3">
        <v>2219</v>
      </c>
      <c r="I10" s="3">
        <v>5</v>
      </c>
      <c r="J10" s="3" t="s">
        <v>67</v>
      </c>
      <c r="K10" s="3">
        <v>1</v>
      </c>
      <c r="L10" s="3">
        <v>3</v>
      </c>
      <c r="M10" s="3" t="s">
        <v>36</v>
      </c>
      <c r="N10" s="3"/>
      <c r="O10" s="3" t="s">
        <v>37</v>
      </c>
      <c r="P10" s="3" t="s">
        <v>68</v>
      </c>
      <c r="Q10" t="s">
        <v>39</v>
      </c>
      <c r="R10">
        <v>173</v>
      </c>
      <c r="S10">
        <v>67</v>
      </c>
      <c r="T10">
        <v>32</v>
      </c>
    </row>
    <row r="11" spans="1:20" ht="23.75" customHeight="1" x14ac:dyDescent="0.2">
      <c r="A11" s="2" t="s">
        <v>21</v>
      </c>
      <c r="B11" s="3" t="s">
        <v>69</v>
      </c>
      <c r="C11" s="3">
        <v>397</v>
      </c>
      <c r="D11" s="3" t="s">
        <v>70</v>
      </c>
      <c r="E11" s="3" t="s">
        <v>71</v>
      </c>
      <c r="F11" s="5" t="s">
        <v>33</v>
      </c>
      <c r="G11" s="3" t="s">
        <v>34</v>
      </c>
      <c r="H11" s="3">
        <v>301</v>
      </c>
      <c r="I11" s="3">
        <v>3</v>
      </c>
      <c r="J11" s="3" t="s">
        <v>72</v>
      </c>
      <c r="K11" s="3">
        <v>0</v>
      </c>
      <c r="L11" s="3">
        <v>2</v>
      </c>
      <c r="M11" s="3" t="s">
        <v>36</v>
      </c>
      <c r="N11" s="3"/>
      <c r="O11" s="3"/>
      <c r="P11" s="3" t="s">
        <v>47</v>
      </c>
      <c r="Q11" t="s">
        <v>73</v>
      </c>
      <c r="R11">
        <v>39</v>
      </c>
      <c r="S11">
        <v>21</v>
      </c>
      <c r="T11">
        <v>0</v>
      </c>
    </row>
    <row r="12" spans="1:20" ht="23.75" customHeight="1" x14ac:dyDescent="0.2">
      <c r="A12" s="6" t="s">
        <v>74</v>
      </c>
      <c r="B12" s="3" t="s">
        <v>75</v>
      </c>
      <c r="C12" s="3">
        <v>1796</v>
      </c>
      <c r="D12" s="3" t="s">
        <v>76</v>
      </c>
      <c r="E12" s="3" t="s">
        <v>77</v>
      </c>
      <c r="F12" s="5" t="s">
        <v>78</v>
      </c>
      <c r="G12" s="3"/>
      <c r="H12" s="3">
        <v>168</v>
      </c>
      <c r="I12" s="3">
        <v>1</v>
      </c>
      <c r="J12" s="3" t="s">
        <v>49</v>
      </c>
      <c r="K12" s="3">
        <v>0</v>
      </c>
      <c r="L12" s="3">
        <v>1</v>
      </c>
      <c r="M12" s="3" t="s">
        <v>53</v>
      </c>
      <c r="N12" s="3"/>
      <c r="O12" s="3" t="s">
        <v>37</v>
      </c>
      <c r="P12" s="3" t="s">
        <v>79</v>
      </c>
      <c r="R12">
        <v>33</v>
      </c>
      <c r="S12">
        <v>11</v>
      </c>
      <c r="T12">
        <v>0</v>
      </c>
    </row>
    <row r="13" spans="1:20" ht="15" customHeight="1" x14ac:dyDescent="0.2">
      <c r="A13" s="6" t="s">
        <v>74</v>
      </c>
      <c r="B13" s="3" t="s">
        <v>80</v>
      </c>
      <c r="C13" s="3">
        <v>163</v>
      </c>
      <c r="D13" s="3" t="s">
        <v>81</v>
      </c>
      <c r="E13" s="3" t="s">
        <v>82</v>
      </c>
      <c r="F13" s="4" t="s">
        <v>25</v>
      </c>
      <c r="G13" s="3"/>
      <c r="H13" s="3">
        <v>1</v>
      </c>
      <c r="I13" s="3">
        <v>0</v>
      </c>
      <c r="J13" s="3"/>
      <c r="K13" s="3">
        <v>1</v>
      </c>
      <c r="L13" s="3">
        <v>0</v>
      </c>
      <c r="M13" s="3"/>
      <c r="N13" s="3"/>
      <c r="O13" s="3"/>
      <c r="P13" s="3" t="s">
        <v>83</v>
      </c>
      <c r="R13">
        <v>252</v>
      </c>
      <c r="S13">
        <v>67</v>
      </c>
      <c r="T13">
        <v>0</v>
      </c>
    </row>
    <row r="14" spans="1:20" ht="35" customHeight="1" x14ac:dyDescent="0.2">
      <c r="A14" s="6" t="s">
        <v>74</v>
      </c>
      <c r="B14" s="3" t="s">
        <v>84</v>
      </c>
      <c r="C14" s="3">
        <v>1995</v>
      </c>
      <c r="D14" s="3" t="s">
        <v>85</v>
      </c>
      <c r="E14" s="3" t="s">
        <v>86</v>
      </c>
      <c r="F14" s="7" t="s">
        <v>87</v>
      </c>
      <c r="G14" s="3"/>
      <c r="H14" s="3">
        <v>1213</v>
      </c>
      <c r="I14" s="3">
        <v>5</v>
      </c>
      <c r="J14" s="3" t="s">
        <v>88</v>
      </c>
      <c r="K14" s="3">
        <v>0</v>
      </c>
      <c r="L14" s="3">
        <v>3</v>
      </c>
      <c r="M14" s="3" t="s">
        <v>36</v>
      </c>
      <c r="N14" s="3"/>
      <c r="O14" s="3" t="s">
        <v>37</v>
      </c>
      <c r="P14" s="3" t="s">
        <v>89</v>
      </c>
      <c r="Q14" t="s">
        <v>48</v>
      </c>
      <c r="R14">
        <v>72</v>
      </c>
      <c r="S14">
        <v>47</v>
      </c>
      <c r="T14">
        <v>0</v>
      </c>
    </row>
    <row r="15" spans="1:20" ht="15" customHeight="1" x14ac:dyDescent="0.2">
      <c r="A15" s="6" t="s">
        <v>74</v>
      </c>
      <c r="B15" s="3" t="s">
        <v>90</v>
      </c>
      <c r="C15" s="3">
        <v>189</v>
      </c>
      <c r="D15" s="3" t="s">
        <v>91</v>
      </c>
      <c r="E15" s="3" t="s">
        <v>92</v>
      </c>
      <c r="F15" s="5" t="s">
        <v>33</v>
      </c>
      <c r="G15" s="3" t="s">
        <v>34</v>
      </c>
      <c r="H15" s="3">
        <v>153</v>
      </c>
      <c r="I15" s="3">
        <v>1</v>
      </c>
      <c r="J15" s="3" t="s">
        <v>93</v>
      </c>
      <c r="K15" s="3">
        <v>0</v>
      </c>
      <c r="L15" s="3">
        <v>0</v>
      </c>
      <c r="M15" s="3" t="s">
        <v>27</v>
      </c>
      <c r="N15" s="3"/>
      <c r="O15" s="3"/>
      <c r="P15" s="3" t="s">
        <v>94</v>
      </c>
      <c r="Q15" t="s">
        <v>39</v>
      </c>
      <c r="R15">
        <v>16</v>
      </c>
      <c r="S15">
        <v>4</v>
      </c>
      <c r="T15">
        <v>2</v>
      </c>
    </row>
    <row r="16" spans="1:20" ht="15" customHeight="1" x14ac:dyDescent="0.2">
      <c r="A16" s="6" t="s">
        <v>74</v>
      </c>
      <c r="B16" s="3" t="s">
        <v>95</v>
      </c>
      <c r="C16" s="3">
        <v>187</v>
      </c>
      <c r="D16" s="3" t="s">
        <v>96</v>
      </c>
      <c r="E16" s="3" t="s">
        <v>97</v>
      </c>
      <c r="F16" s="5" t="s">
        <v>33</v>
      </c>
      <c r="G16" s="3" t="s">
        <v>34</v>
      </c>
      <c r="H16" s="3">
        <v>281</v>
      </c>
      <c r="I16" s="3">
        <v>1</v>
      </c>
      <c r="J16" s="3" t="s">
        <v>98</v>
      </c>
      <c r="K16" s="3">
        <v>0</v>
      </c>
      <c r="L16" s="3">
        <v>3</v>
      </c>
      <c r="M16" s="3" t="s">
        <v>27</v>
      </c>
      <c r="N16" s="3"/>
      <c r="O16" s="3"/>
      <c r="P16" s="3" t="s">
        <v>94</v>
      </c>
      <c r="Q16" t="s">
        <v>39</v>
      </c>
      <c r="R16">
        <v>64</v>
      </c>
      <c r="S16">
        <v>41</v>
      </c>
      <c r="T16">
        <v>0</v>
      </c>
    </row>
    <row r="17" spans="1:20" ht="23.75" customHeight="1" x14ac:dyDescent="0.2">
      <c r="A17" s="6" t="s">
        <v>74</v>
      </c>
      <c r="B17" s="3" t="s">
        <v>34</v>
      </c>
      <c r="C17" s="3">
        <v>160</v>
      </c>
      <c r="D17" s="3" t="s">
        <v>99</v>
      </c>
      <c r="E17" s="3" t="s">
        <v>100</v>
      </c>
      <c r="F17" s="4" t="s">
        <v>25</v>
      </c>
      <c r="G17" s="3"/>
      <c r="H17" s="3">
        <v>76</v>
      </c>
      <c r="I17" s="3">
        <v>2</v>
      </c>
      <c r="J17" s="3" t="s">
        <v>101</v>
      </c>
      <c r="K17" s="3">
        <v>0</v>
      </c>
      <c r="L17" s="3">
        <v>17</v>
      </c>
      <c r="M17" s="3" t="s">
        <v>36</v>
      </c>
      <c r="N17" s="3"/>
      <c r="O17" s="3" t="s">
        <v>37</v>
      </c>
      <c r="P17" s="3" t="s">
        <v>83</v>
      </c>
      <c r="R17">
        <v>490</v>
      </c>
      <c r="S17">
        <v>110</v>
      </c>
      <c r="T17">
        <v>26</v>
      </c>
    </row>
    <row r="18" spans="1:20" ht="23.75" customHeight="1" x14ac:dyDescent="0.2">
      <c r="A18" s="6" t="s">
        <v>74</v>
      </c>
      <c r="B18" s="3" t="s">
        <v>102</v>
      </c>
      <c r="C18" s="3">
        <v>1537</v>
      </c>
      <c r="D18" s="3" t="s">
        <v>103</v>
      </c>
      <c r="E18" s="3" t="s">
        <v>104</v>
      </c>
      <c r="F18" s="5" t="s">
        <v>33</v>
      </c>
      <c r="G18" s="3" t="s">
        <v>34</v>
      </c>
      <c r="H18" s="3">
        <v>457</v>
      </c>
      <c r="I18" s="3">
        <v>1</v>
      </c>
      <c r="J18" s="3" t="s">
        <v>34</v>
      </c>
      <c r="K18" s="3">
        <v>0</v>
      </c>
      <c r="L18" s="3">
        <v>2</v>
      </c>
      <c r="M18" s="3" t="s">
        <v>36</v>
      </c>
      <c r="N18" s="3"/>
      <c r="O18" s="3" t="s">
        <v>37</v>
      </c>
      <c r="P18" s="3" t="s">
        <v>94</v>
      </c>
      <c r="Q18" t="s">
        <v>73</v>
      </c>
      <c r="R18">
        <v>54</v>
      </c>
      <c r="S18">
        <v>36</v>
      </c>
      <c r="T18">
        <v>0</v>
      </c>
    </row>
    <row r="19" spans="1:20" ht="15" customHeight="1" x14ac:dyDescent="0.2">
      <c r="A19" s="6" t="s">
        <v>74</v>
      </c>
      <c r="B19" s="3" t="s">
        <v>105</v>
      </c>
      <c r="C19" s="3">
        <v>249</v>
      </c>
      <c r="D19" s="3" t="s">
        <v>106</v>
      </c>
      <c r="E19" s="3" t="s">
        <v>107</v>
      </c>
      <c r="F19" s="5" t="s">
        <v>33</v>
      </c>
      <c r="G19" s="3" t="s">
        <v>34</v>
      </c>
      <c r="H19" s="3">
        <v>320</v>
      </c>
      <c r="I19" s="3">
        <v>1</v>
      </c>
      <c r="J19" s="3" t="s">
        <v>95</v>
      </c>
      <c r="K19" s="3">
        <v>1</v>
      </c>
      <c r="L19" s="3">
        <v>2</v>
      </c>
      <c r="M19" s="3" t="s">
        <v>27</v>
      </c>
      <c r="N19" s="3"/>
      <c r="O19" s="3"/>
      <c r="P19" s="3" t="s">
        <v>94</v>
      </c>
      <c r="Q19" t="s">
        <v>73</v>
      </c>
      <c r="R19">
        <v>34</v>
      </c>
      <c r="S19">
        <v>22</v>
      </c>
      <c r="T19">
        <v>0</v>
      </c>
    </row>
    <row r="20" spans="1:20" ht="15" customHeight="1" x14ac:dyDescent="0.2">
      <c r="A20" s="6" t="s">
        <v>74</v>
      </c>
      <c r="B20" s="3" t="s">
        <v>108</v>
      </c>
      <c r="C20" s="3">
        <v>846</v>
      </c>
      <c r="D20" s="3" t="s">
        <v>109</v>
      </c>
      <c r="E20" s="3" t="s">
        <v>110</v>
      </c>
      <c r="F20" s="4" t="s">
        <v>25</v>
      </c>
      <c r="G20" s="3"/>
      <c r="H20" s="3">
        <v>273</v>
      </c>
      <c r="I20" s="3">
        <v>0</v>
      </c>
      <c r="J20" s="3"/>
      <c r="K20" s="3">
        <v>0</v>
      </c>
      <c r="L20" s="3">
        <v>1</v>
      </c>
      <c r="M20" s="3" t="s">
        <v>53</v>
      </c>
      <c r="N20" s="3"/>
      <c r="O20" s="3" t="s">
        <v>37</v>
      </c>
      <c r="P20" s="3" t="s">
        <v>111</v>
      </c>
      <c r="R20">
        <v>6116</v>
      </c>
      <c r="S20">
        <v>5022</v>
      </c>
      <c r="T20">
        <v>640</v>
      </c>
    </row>
    <row r="21" spans="1:20" ht="15" customHeight="1" x14ac:dyDescent="0.2">
      <c r="A21" s="6" t="s">
        <v>74</v>
      </c>
      <c r="B21" s="3" t="s">
        <v>93</v>
      </c>
      <c r="C21" s="3">
        <v>1698</v>
      </c>
      <c r="D21" s="3" t="s">
        <v>112</v>
      </c>
      <c r="E21" s="3" t="s">
        <v>66</v>
      </c>
      <c r="F21" s="5" t="s">
        <v>33</v>
      </c>
      <c r="G21" s="3"/>
      <c r="H21" s="3">
        <v>2055</v>
      </c>
      <c r="I21" s="3">
        <v>0</v>
      </c>
      <c r="J21" s="3"/>
      <c r="K21" s="3">
        <v>0</v>
      </c>
      <c r="L21" s="3">
        <v>2</v>
      </c>
      <c r="M21" s="3" t="s">
        <v>36</v>
      </c>
      <c r="N21" s="3"/>
      <c r="O21" s="3" t="s">
        <v>37</v>
      </c>
      <c r="P21" s="3" t="s">
        <v>94</v>
      </c>
      <c r="Q21" t="s">
        <v>39</v>
      </c>
      <c r="R21">
        <v>203</v>
      </c>
      <c r="S21">
        <v>137</v>
      </c>
      <c r="T21">
        <v>35</v>
      </c>
    </row>
    <row r="22" spans="1:20" ht="15" customHeight="1" x14ac:dyDescent="0.2">
      <c r="A22" s="6" t="s">
        <v>74</v>
      </c>
      <c r="B22" s="3" t="s">
        <v>113</v>
      </c>
      <c r="C22" s="3">
        <v>185</v>
      </c>
      <c r="D22" s="3" t="s">
        <v>114</v>
      </c>
      <c r="E22" s="3" t="s">
        <v>115</v>
      </c>
      <c r="F22" s="5" t="s">
        <v>33</v>
      </c>
      <c r="G22" s="3" t="s">
        <v>34</v>
      </c>
      <c r="H22" s="3">
        <v>268</v>
      </c>
      <c r="I22" s="3">
        <v>0</v>
      </c>
      <c r="J22" s="3"/>
      <c r="K22" s="3">
        <v>2</v>
      </c>
      <c r="L22" s="3">
        <v>2</v>
      </c>
      <c r="M22" s="3" t="s">
        <v>27</v>
      </c>
      <c r="N22" s="3"/>
      <c r="O22" s="3"/>
      <c r="P22" s="3" t="s">
        <v>94</v>
      </c>
      <c r="Q22" t="s">
        <v>73</v>
      </c>
      <c r="R22">
        <v>194</v>
      </c>
      <c r="S22">
        <v>41</v>
      </c>
      <c r="T22">
        <v>2</v>
      </c>
    </row>
    <row r="23" spans="1:20" ht="23.75" customHeight="1" x14ac:dyDescent="0.2">
      <c r="A23" s="6" t="s">
        <v>74</v>
      </c>
      <c r="B23" s="3" t="s">
        <v>116</v>
      </c>
      <c r="C23" s="3">
        <v>1680</v>
      </c>
      <c r="D23" s="3" t="s">
        <v>117</v>
      </c>
      <c r="E23" s="3" t="s">
        <v>118</v>
      </c>
      <c r="F23" s="5" t="s">
        <v>78</v>
      </c>
      <c r="G23" s="3"/>
      <c r="H23" s="3">
        <v>107</v>
      </c>
      <c r="I23" s="3">
        <v>1</v>
      </c>
      <c r="J23" s="3" t="s">
        <v>49</v>
      </c>
      <c r="K23" s="3">
        <v>0</v>
      </c>
      <c r="L23" s="3">
        <v>1</v>
      </c>
      <c r="M23" s="3" t="s">
        <v>53</v>
      </c>
      <c r="N23" s="3"/>
      <c r="O23" s="3" t="s">
        <v>37</v>
      </c>
      <c r="P23" s="3" t="s">
        <v>79</v>
      </c>
      <c r="R23">
        <v>66</v>
      </c>
      <c r="S23">
        <v>10</v>
      </c>
      <c r="T23">
        <v>71</v>
      </c>
    </row>
    <row r="24" spans="1:20" ht="23.75" customHeight="1" x14ac:dyDescent="0.2">
      <c r="A24" s="6" t="s">
        <v>74</v>
      </c>
      <c r="B24" s="3" t="s">
        <v>98</v>
      </c>
      <c r="C24" s="3">
        <v>1767</v>
      </c>
      <c r="D24" s="3" t="s">
        <v>119</v>
      </c>
      <c r="E24" s="3" t="s">
        <v>118</v>
      </c>
      <c r="F24" s="5" t="s">
        <v>78</v>
      </c>
      <c r="G24" s="3"/>
      <c r="H24" s="3">
        <v>270</v>
      </c>
      <c r="I24" s="3">
        <v>1</v>
      </c>
      <c r="J24" s="3" t="s">
        <v>49</v>
      </c>
      <c r="K24" s="3">
        <v>0</v>
      </c>
      <c r="L24" s="3">
        <v>7</v>
      </c>
      <c r="M24" s="3" t="s">
        <v>53</v>
      </c>
      <c r="N24" s="3"/>
      <c r="O24" s="3" t="s">
        <v>37</v>
      </c>
      <c r="P24" s="3" t="s">
        <v>79</v>
      </c>
      <c r="R24">
        <v>232</v>
      </c>
      <c r="S24">
        <v>148</v>
      </c>
      <c r="T24">
        <v>50</v>
      </c>
    </row>
    <row r="25" spans="1:20" ht="23.75" customHeight="1" x14ac:dyDescent="0.2">
      <c r="A25" s="6" t="s">
        <v>74</v>
      </c>
      <c r="B25" s="3" t="s">
        <v>120</v>
      </c>
      <c r="C25" s="3">
        <v>1792</v>
      </c>
      <c r="D25" s="3" t="s">
        <v>121</v>
      </c>
      <c r="E25" s="3" t="s">
        <v>77</v>
      </c>
      <c r="F25" s="5" t="s">
        <v>78</v>
      </c>
      <c r="G25" s="3"/>
      <c r="H25" s="3">
        <v>14</v>
      </c>
      <c r="I25" s="3">
        <v>0</v>
      </c>
      <c r="J25" s="3"/>
      <c r="K25" s="3">
        <v>0</v>
      </c>
      <c r="L25" s="3">
        <v>1</v>
      </c>
      <c r="M25" s="3" t="s">
        <v>53</v>
      </c>
      <c r="N25" s="3"/>
      <c r="O25" s="3" t="s">
        <v>37</v>
      </c>
      <c r="P25" s="3" t="s">
        <v>79</v>
      </c>
      <c r="R25">
        <v>5</v>
      </c>
      <c r="S25">
        <v>4</v>
      </c>
      <c r="T25">
        <v>0</v>
      </c>
    </row>
    <row r="26" spans="1:20" ht="23.75" customHeight="1" x14ac:dyDescent="0.2">
      <c r="A26" s="6" t="s">
        <v>74</v>
      </c>
      <c r="B26" s="3" t="s">
        <v>122</v>
      </c>
      <c r="C26" s="3">
        <v>409</v>
      </c>
      <c r="D26" s="3" t="s">
        <v>123</v>
      </c>
      <c r="E26" s="3" t="s">
        <v>124</v>
      </c>
      <c r="F26" s="5" t="s">
        <v>33</v>
      </c>
      <c r="G26" s="3" t="s">
        <v>34</v>
      </c>
      <c r="H26" s="3">
        <v>338</v>
      </c>
      <c r="I26" s="3">
        <v>2</v>
      </c>
      <c r="J26" s="3" t="s">
        <v>125</v>
      </c>
      <c r="K26" s="3">
        <v>1</v>
      </c>
      <c r="L26" s="3">
        <v>5</v>
      </c>
      <c r="M26" s="3" t="s">
        <v>27</v>
      </c>
      <c r="N26" s="3"/>
      <c r="O26" s="3"/>
      <c r="P26" s="3" t="s">
        <v>94</v>
      </c>
      <c r="Q26" t="s">
        <v>73</v>
      </c>
      <c r="R26">
        <v>98</v>
      </c>
      <c r="S26">
        <v>19</v>
      </c>
      <c r="T26">
        <v>2</v>
      </c>
    </row>
    <row r="27" spans="1:20" ht="15" customHeight="1" x14ac:dyDescent="0.2">
      <c r="A27" s="6" t="s">
        <v>74</v>
      </c>
      <c r="B27" s="3" t="s">
        <v>126</v>
      </c>
      <c r="C27" s="3">
        <v>942</v>
      </c>
      <c r="D27" s="3" t="s">
        <v>127</v>
      </c>
      <c r="E27" s="3" t="s">
        <v>128</v>
      </c>
      <c r="F27" s="4" t="s">
        <v>25</v>
      </c>
      <c r="G27" s="3"/>
      <c r="H27" s="3">
        <v>601</v>
      </c>
      <c r="I27" s="3">
        <v>1</v>
      </c>
      <c r="J27" s="3" t="s">
        <v>129</v>
      </c>
      <c r="K27" s="3">
        <v>1</v>
      </c>
      <c r="L27" s="3">
        <v>1</v>
      </c>
      <c r="M27" s="3" t="s">
        <v>53</v>
      </c>
      <c r="N27" s="3"/>
      <c r="O27" s="3" t="s">
        <v>46</v>
      </c>
      <c r="P27" s="3" t="s">
        <v>83</v>
      </c>
      <c r="R27">
        <v>383</v>
      </c>
      <c r="S27">
        <v>113</v>
      </c>
      <c r="T27">
        <v>13</v>
      </c>
    </row>
    <row r="28" spans="1:20" ht="15" customHeight="1" x14ac:dyDescent="0.2">
      <c r="A28" s="6" t="s">
        <v>74</v>
      </c>
      <c r="B28" s="3" t="s">
        <v>130</v>
      </c>
      <c r="C28" s="3">
        <v>2126</v>
      </c>
      <c r="D28" s="3" t="s">
        <v>131</v>
      </c>
      <c r="E28" s="3" t="s">
        <v>132</v>
      </c>
      <c r="F28" s="5" t="s">
        <v>33</v>
      </c>
      <c r="G28" s="3" t="s">
        <v>34</v>
      </c>
      <c r="H28" s="3">
        <v>683</v>
      </c>
      <c r="I28" s="3">
        <v>2</v>
      </c>
      <c r="J28" s="3" t="s">
        <v>133</v>
      </c>
      <c r="K28" s="3">
        <v>0</v>
      </c>
      <c r="L28" s="3">
        <v>3</v>
      </c>
      <c r="M28" s="3" t="s">
        <v>36</v>
      </c>
      <c r="N28" s="3"/>
      <c r="O28" s="3" t="s">
        <v>37</v>
      </c>
      <c r="P28" s="3" t="s">
        <v>94</v>
      </c>
      <c r="Q28" t="s">
        <v>73</v>
      </c>
      <c r="R28">
        <v>73</v>
      </c>
      <c r="S28">
        <v>39</v>
      </c>
      <c r="T28">
        <v>0</v>
      </c>
    </row>
    <row r="29" spans="1:20" ht="23.75" customHeight="1" x14ac:dyDescent="0.2">
      <c r="A29" s="6" t="s">
        <v>74</v>
      </c>
      <c r="B29" s="3" t="s">
        <v>134</v>
      </c>
      <c r="C29" s="3">
        <v>417</v>
      </c>
      <c r="D29" s="3" t="s">
        <v>135</v>
      </c>
      <c r="E29" s="3" t="s">
        <v>136</v>
      </c>
      <c r="F29" s="5" t="s">
        <v>33</v>
      </c>
      <c r="G29" s="3" t="s">
        <v>34</v>
      </c>
      <c r="H29" s="3">
        <v>301</v>
      </c>
      <c r="I29" s="3">
        <v>2</v>
      </c>
      <c r="J29" s="3" t="s">
        <v>137</v>
      </c>
      <c r="K29" s="3">
        <v>1</v>
      </c>
      <c r="L29" s="3">
        <v>4</v>
      </c>
      <c r="M29" s="3" t="s">
        <v>53</v>
      </c>
      <c r="N29" s="3"/>
      <c r="O29" s="3"/>
      <c r="P29" s="3" t="s">
        <v>94</v>
      </c>
      <c r="Q29" t="s">
        <v>73</v>
      </c>
      <c r="R29">
        <v>92</v>
      </c>
      <c r="S29">
        <v>31</v>
      </c>
      <c r="T29">
        <v>3</v>
      </c>
    </row>
    <row r="30" spans="1:20" ht="15" customHeight="1" x14ac:dyDescent="0.2">
      <c r="A30" s="6" t="s">
        <v>74</v>
      </c>
      <c r="B30" s="3" t="s">
        <v>138</v>
      </c>
      <c r="C30" s="3">
        <v>441</v>
      </c>
      <c r="D30" s="3" t="s">
        <v>139</v>
      </c>
      <c r="E30" s="3" t="s">
        <v>140</v>
      </c>
      <c r="F30" s="4" t="s">
        <v>25</v>
      </c>
      <c r="G30" s="3"/>
      <c r="H30" s="3">
        <v>497</v>
      </c>
      <c r="I30" s="3">
        <v>0</v>
      </c>
      <c r="J30" s="3"/>
      <c r="K30" s="3">
        <v>0</v>
      </c>
      <c r="L30" s="3">
        <v>0</v>
      </c>
      <c r="M30" s="3" t="s">
        <v>36</v>
      </c>
      <c r="N30" s="3"/>
      <c r="O30" s="3"/>
      <c r="P30" s="3" t="s">
        <v>83</v>
      </c>
      <c r="R30">
        <v>0</v>
      </c>
      <c r="S30">
        <v>0</v>
      </c>
      <c r="T30">
        <v>0</v>
      </c>
    </row>
    <row r="31" spans="1:20" ht="15" customHeight="1" x14ac:dyDescent="0.2">
      <c r="A31" s="6" t="s">
        <v>74</v>
      </c>
      <c r="B31" s="3" t="s">
        <v>141</v>
      </c>
      <c r="C31" s="3">
        <v>176</v>
      </c>
      <c r="D31" s="3" t="s">
        <v>142</v>
      </c>
      <c r="E31" s="3" t="s">
        <v>143</v>
      </c>
      <c r="F31" s="5" t="s">
        <v>33</v>
      </c>
      <c r="G31" s="3" t="s">
        <v>34</v>
      </c>
      <c r="H31" s="3">
        <v>177</v>
      </c>
      <c r="I31" s="3">
        <v>2</v>
      </c>
      <c r="J31" s="3" t="s">
        <v>144</v>
      </c>
      <c r="K31" s="3">
        <v>0</v>
      </c>
      <c r="L31" s="3">
        <v>1</v>
      </c>
      <c r="M31" s="3" t="s">
        <v>27</v>
      </c>
      <c r="N31" s="3"/>
      <c r="O31" s="3" t="s">
        <v>145</v>
      </c>
      <c r="P31" s="3" t="s">
        <v>94</v>
      </c>
      <c r="Q31" t="s">
        <v>39</v>
      </c>
      <c r="R31">
        <v>68</v>
      </c>
      <c r="S31">
        <v>22</v>
      </c>
      <c r="T31">
        <v>18</v>
      </c>
    </row>
    <row r="32" spans="1:20" ht="15" customHeight="1" x14ac:dyDescent="0.2">
      <c r="A32" s="6" t="s">
        <v>74</v>
      </c>
      <c r="B32" s="3" t="s">
        <v>146</v>
      </c>
      <c r="C32" s="3">
        <v>922</v>
      </c>
      <c r="D32" s="3" t="s">
        <v>147</v>
      </c>
      <c r="E32" s="3" t="s">
        <v>148</v>
      </c>
      <c r="F32" s="4" t="s">
        <v>25</v>
      </c>
      <c r="G32" s="3"/>
      <c r="H32" s="3">
        <v>537</v>
      </c>
      <c r="I32" s="3">
        <v>1</v>
      </c>
      <c r="J32" s="3" t="s">
        <v>126</v>
      </c>
      <c r="K32" s="3">
        <v>1</v>
      </c>
      <c r="L32" s="3">
        <v>2</v>
      </c>
      <c r="M32" s="3" t="s">
        <v>53</v>
      </c>
      <c r="N32" s="3"/>
      <c r="O32" s="3" t="s">
        <v>37</v>
      </c>
      <c r="P32" s="3" t="s">
        <v>83</v>
      </c>
      <c r="R32">
        <v>136</v>
      </c>
      <c r="S32">
        <v>33</v>
      </c>
      <c r="T32">
        <v>2</v>
      </c>
    </row>
    <row r="33" spans="1:20" ht="15" customHeight="1" x14ac:dyDescent="0.2">
      <c r="A33" s="8" t="s">
        <v>149</v>
      </c>
      <c r="B33" s="3" t="s">
        <v>150</v>
      </c>
      <c r="C33" s="3">
        <v>1106</v>
      </c>
      <c r="D33" s="3" t="s">
        <v>151</v>
      </c>
      <c r="E33" s="3" t="s">
        <v>152</v>
      </c>
      <c r="F33" s="7" t="s">
        <v>87</v>
      </c>
      <c r="G33" s="3"/>
      <c r="H33" s="3">
        <v>186</v>
      </c>
      <c r="I33" s="3">
        <v>0</v>
      </c>
      <c r="J33" s="3"/>
      <c r="K33" s="3">
        <v>0</v>
      </c>
      <c r="L33" s="3">
        <v>0</v>
      </c>
      <c r="M33" s="3" t="s">
        <v>53</v>
      </c>
      <c r="N33" s="3"/>
      <c r="O33" s="3" t="s">
        <v>37</v>
      </c>
      <c r="P33" s="3" t="s">
        <v>153</v>
      </c>
      <c r="R33">
        <v>115</v>
      </c>
      <c r="S33">
        <v>47</v>
      </c>
      <c r="T33">
        <v>4</v>
      </c>
    </row>
    <row r="34" spans="1:20" ht="15" customHeight="1" x14ac:dyDescent="0.2">
      <c r="A34" s="8" t="s">
        <v>154</v>
      </c>
      <c r="B34" s="3" t="s">
        <v>155</v>
      </c>
      <c r="C34" s="3">
        <v>2080</v>
      </c>
      <c r="D34" s="3" t="s">
        <v>156</v>
      </c>
      <c r="E34" s="3" t="s">
        <v>32</v>
      </c>
      <c r="F34" s="7" t="s">
        <v>87</v>
      </c>
      <c r="G34" s="3"/>
      <c r="H34" s="3">
        <v>1561</v>
      </c>
      <c r="I34" s="3">
        <v>0</v>
      </c>
      <c r="J34" s="3"/>
      <c r="K34" s="3">
        <v>0</v>
      </c>
      <c r="L34" s="3">
        <v>3</v>
      </c>
      <c r="M34" s="3" t="s">
        <v>36</v>
      </c>
      <c r="N34" s="3"/>
      <c r="O34" s="3" t="s">
        <v>37</v>
      </c>
      <c r="P34" s="3" t="s">
        <v>157</v>
      </c>
      <c r="R34">
        <v>94</v>
      </c>
      <c r="S34">
        <v>80</v>
      </c>
      <c r="T34">
        <v>0</v>
      </c>
    </row>
    <row r="35" spans="1:20" ht="35" customHeight="1" x14ac:dyDescent="0.2">
      <c r="A35" s="9" t="s">
        <v>74</v>
      </c>
      <c r="B35" s="3" t="s">
        <v>129</v>
      </c>
      <c r="C35" s="3">
        <v>2108</v>
      </c>
      <c r="D35" s="3" t="s">
        <v>158</v>
      </c>
      <c r="E35" s="3" t="s">
        <v>159</v>
      </c>
      <c r="F35" s="7" t="s">
        <v>33</v>
      </c>
      <c r="G35" s="3" t="s">
        <v>34</v>
      </c>
      <c r="H35" s="3">
        <v>534</v>
      </c>
      <c r="I35" s="3">
        <v>1</v>
      </c>
      <c r="J35" s="3" t="s">
        <v>160</v>
      </c>
      <c r="K35" s="3">
        <v>0</v>
      </c>
      <c r="L35" s="3">
        <v>4</v>
      </c>
      <c r="M35" s="3" t="s">
        <v>36</v>
      </c>
      <c r="N35" s="3"/>
      <c r="O35" s="3" t="s">
        <v>37</v>
      </c>
      <c r="P35" s="3" t="s">
        <v>161</v>
      </c>
      <c r="Q35" t="s">
        <v>48</v>
      </c>
      <c r="R35">
        <v>12</v>
      </c>
      <c r="S35">
        <v>11</v>
      </c>
      <c r="T35">
        <v>0</v>
      </c>
    </row>
    <row r="36" spans="1:20" ht="35" customHeight="1" x14ac:dyDescent="0.2">
      <c r="A36" s="10" t="s">
        <v>162</v>
      </c>
      <c r="B36" s="3" t="s">
        <v>160</v>
      </c>
      <c r="C36" s="3">
        <v>2142</v>
      </c>
      <c r="D36" s="3" t="s">
        <v>163</v>
      </c>
      <c r="E36" s="3" t="s">
        <v>51</v>
      </c>
      <c r="F36" s="7" t="s">
        <v>87</v>
      </c>
      <c r="G36" s="3"/>
      <c r="H36" s="3">
        <v>562</v>
      </c>
      <c r="I36" s="3">
        <v>0</v>
      </c>
      <c r="J36" s="3"/>
      <c r="K36" s="3">
        <v>0</v>
      </c>
      <c r="L36" s="3">
        <v>6</v>
      </c>
      <c r="M36" s="3" t="s">
        <v>36</v>
      </c>
      <c r="N36" s="3"/>
      <c r="O36" s="3" t="s">
        <v>164</v>
      </c>
      <c r="P36" s="3" t="s">
        <v>165</v>
      </c>
      <c r="R36">
        <v>79</v>
      </c>
      <c r="S36">
        <v>51</v>
      </c>
      <c r="T36">
        <v>0</v>
      </c>
    </row>
    <row r="37" spans="1:20" ht="15" customHeight="1" x14ac:dyDescent="0.2">
      <c r="A37" s="11" t="s">
        <v>166</v>
      </c>
      <c r="B37" s="3" t="s">
        <v>167</v>
      </c>
      <c r="C37" s="3">
        <v>1941</v>
      </c>
      <c r="D37" s="3" t="s">
        <v>168</v>
      </c>
      <c r="E37" s="3" t="s">
        <v>60</v>
      </c>
      <c r="F37" s="7" t="s">
        <v>87</v>
      </c>
      <c r="G37" s="3"/>
      <c r="H37" s="3">
        <v>83</v>
      </c>
      <c r="I37" s="3">
        <v>0</v>
      </c>
      <c r="J37" s="3"/>
      <c r="K37" s="3">
        <v>0</v>
      </c>
      <c r="L37" s="3">
        <v>1</v>
      </c>
      <c r="M37" s="3" t="s">
        <v>36</v>
      </c>
      <c r="N37" s="3"/>
      <c r="O37" s="3" t="s">
        <v>37</v>
      </c>
      <c r="P37" s="3" t="s">
        <v>169</v>
      </c>
      <c r="R37">
        <v>4</v>
      </c>
      <c r="S37">
        <v>2</v>
      </c>
      <c r="T37">
        <v>6</v>
      </c>
    </row>
    <row r="38" spans="1:20" ht="15" customHeight="1" x14ac:dyDescent="0.2">
      <c r="A38" s="11" t="s">
        <v>166</v>
      </c>
      <c r="B38" s="3" t="s">
        <v>170</v>
      </c>
      <c r="C38" s="3">
        <v>1911</v>
      </c>
      <c r="D38" s="3" t="s">
        <v>171</v>
      </c>
      <c r="E38" s="3" t="s">
        <v>24</v>
      </c>
      <c r="F38" s="7" t="s">
        <v>87</v>
      </c>
      <c r="G38" s="3"/>
      <c r="H38" s="3">
        <v>56</v>
      </c>
      <c r="I38" s="3">
        <v>0</v>
      </c>
      <c r="J38" s="3"/>
      <c r="K38" s="3">
        <v>0</v>
      </c>
      <c r="L38" s="3">
        <v>2</v>
      </c>
      <c r="M38" s="3" t="s">
        <v>36</v>
      </c>
      <c r="N38" s="3"/>
      <c r="O38" s="3" t="s">
        <v>37</v>
      </c>
      <c r="P38" s="3" t="s">
        <v>169</v>
      </c>
      <c r="R38">
        <v>8</v>
      </c>
      <c r="S38">
        <v>5</v>
      </c>
      <c r="T38">
        <v>1</v>
      </c>
    </row>
    <row r="39" spans="1:20" ht="15" customHeight="1" x14ac:dyDescent="0.2">
      <c r="A39" s="11" t="s">
        <v>166</v>
      </c>
      <c r="B39" s="3" t="s">
        <v>172</v>
      </c>
      <c r="C39" s="3">
        <v>1943</v>
      </c>
      <c r="D39" s="3" t="s">
        <v>173</v>
      </c>
      <c r="E39" s="3" t="s">
        <v>60</v>
      </c>
      <c r="F39" s="7" t="s">
        <v>87</v>
      </c>
      <c r="G39" s="3"/>
      <c r="H39" s="3">
        <v>76</v>
      </c>
      <c r="I39" s="3">
        <v>0</v>
      </c>
      <c r="J39" s="3"/>
      <c r="K39" s="3">
        <v>0</v>
      </c>
      <c r="L39" s="3">
        <v>1</v>
      </c>
      <c r="M39" s="3" t="s">
        <v>36</v>
      </c>
      <c r="N39" s="3"/>
      <c r="O39" s="3" t="s">
        <v>37</v>
      </c>
      <c r="P39" s="3" t="s">
        <v>169</v>
      </c>
      <c r="R39">
        <v>8</v>
      </c>
      <c r="S39">
        <v>3</v>
      </c>
      <c r="T39">
        <v>0</v>
      </c>
    </row>
    <row r="40" spans="1:20" ht="15" customHeight="1" x14ac:dyDescent="0.2">
      <c r="A40" s="11" t="s">
        <v>166</v>
      </c>
      <c r="B40" s="3" t="s">
        <v>174</v>
      </c>
      <c r="C40" s="3">
        <v>148</v>
      </c>
      <c r="D40" s="3" t="s">
        <v>175</v>
      </c>
      <c r="E40" s="3" t="s">
        <v>60</v>
      </c>
      <c r="F40" s="7" t="s">
        <v>87</v>
      </c>
      <c r="G40" s="3"/>
      <c r="H40" s="3">
        <v>44</v>
      </c>
      <c r="I40" s="3">
        <v>0</v>
      </c>
      <c r="J40" s="3"/>
      <c r="K40" s="3">
        <v>0</v>
      </c>
      <c r="L40" s="3">
        <v>1</v>
      </c>
      <c r="M40" s="3" t="s">
        <v>36</v>
      </c>
      <c r="N40" s="3"/>
      <c r="O40" s="3" t="s">
        <v>37</v>
      </c>
      <c r="P40" s="3" t="s">
        <v>169</v>
      </c>
      <c r="R40">
        <v>0</v>
      </c>
      <c r="S40">
        <v>0</v>
      </c>
      <c r="T40">
        <v>0</v>
      </c>
    </row>
    <row r="41" spans="1:20" ht="15" customHeight="1" x14ac:dyDescent="0.2">
      <c r="A41" s="11" t="s">
        <v>166</v>
      </c>
      <c r="B41" s="3" t="s">
        <v>176</v>
      </c>
      <c r="C41" s="3">
        <v>2089</v>
      </c>
      <c r="D41" s="3" t="s">
        <v>177</v>
      </c>
      <c r="E41" s="3" t="s">
        <v>32</v>
      </c>
      <c r="F41" s="7" t="s">
        <v>87</v>
      </c>
      <c r="G41" s="3"/>
      <c r="H41" s="3">
        <v>56</v>
      </c>
      <c r="I41" s="3">
        <v>0</v>
      </c>
      <c r="J41" s="3"/>
      <c r="K41" s="3">
        <v>0</v>
      </c>
      <c r="L41" s="3">
        <v>2</v>
      </c>
      <c r="M41" s="3" t="s">
        <v>36</v>
      </c>
      <c r="N41" s="3"/>
      <c r="O41" s="3" t="s">
        <v>37</v>
      </c>
      <c r="P41" s="3" t="s">
        <v>169</v>
      </c>
      <c r="R41">
        <v>2</v>
      </c>
      <c r="S41">
        <v>2</v>
      </c>
      <c r="T41">
        <v>0</v>
      </c>
    </row>
    <row r="42" spans="1:20" ht="15" customHeight="1" x14ac:dyDescent="0.2">
      <c r="A42" s="11" t="s">
        <v>178</v>
      </c>
      <c r="B42" s="3" t="s">
        <v>179</v>
      </c>
      <c r="C42" s="3">
        <v>1434</v>
      </c>
      <c r="D42" s="3" t="s">
        <v>180</v>
      </c>
      <c r="E42" s="3" t="s">
        <v>181</v>
      </c>
      <c r="F42" s="7" t="s">
        <v>87</v>
      </c>
      <c r="G42" s="3"/>
      <c r="H42" s="3">
        <v>372</v>
      </c>
      <c r="I42" s="3">
        <v>0</v>
      </c>
      <c r="J42" s="3"/>
      <c r="K42" s="3">
        <v>3</v>
      </c>
      <c r="L42" s="3">
        <v>0</v>
      </c>
      <c r="M42" s="3" t="s">
        <v>36</v>
      </c>
      <c r="N42" s="3"/>
      <c r="O42" s="3"/>
      <c r="P42" s="3" t="s">
        <v>182</v>
      </c>
      <c r="R42">
        <v>7</v>
      </c>
      <c r="S42">
        <v>6</v>
      </c>
      <c r="T42">
        <v>0</v>
      </c>
    </row>
    <row r="43" spans="1:20" ht="15" customHeight="1" x14ac:dyDescent="0.2">
      <c r="A43" s="11" t="s">
        <v>178</v>
      </c>
      <c r="B43" s="3" t="s">
        <v>183</v>
      </c>
      <c r="C43" s="3">
        <v>692</v>
      </c>
      <c r="D43" s="3"/>
      <c r="E43" s="3" t="s">
        <v>184</v>
      </c>
      <c r="F43" s="7" t="s">
        <v>87</v>
      </c>
      <c r="G43" s="3"/>
      <c r="H43" s="3">
        <v>1468</v>
      </c>
      <c r="I43" s="3">
        <v>0</v>
      </c>
      <c r="J43" s="3"/>
      <c r="K43" s="3">
        <v>0</v>
      </c>
      <c r="L43" s="3">
        <v>1</v>
      </c>
      <c r="M43" s="3" t="s">
        <v>27</v>
      </c>
      <c r="N43" s="3"/>
      <c r="O43" s="3" t="s">
        <v>37</v>
      </c>
      <c r="P43" s="3" t="s">
        <v>182</v>
      </c>
      <c r="R43">
        <v>68</v>
      </c>
      <c r="S43">
        <v>55</v>
      </c>
      <c r="T43">
        <v>0</v>
      </c>
    </row>
    <row r="44" spans="1:20" ht="15" customHeight="1" x14ac:dyDescent="0.2">
      <c r="A44" s="11" t="s">
        <v>178</v>
      </c>
      <c r="B44" s="3" t="s">
        <v>185</v>
      </c>
      <c r="C44" s="3">
        <v>688</v>
      </c>
      <c r="D44" s="3"/>
      <c r="E44" s="3" t="s">
        <v>184</v>
      </c>
      <c r="F44" s="7" t="s">
        <v>87</v>
      </c>
      <c r="G44" s="3"/>
      <c r="H44" s="3">
        <v>512</v>
      </c>
      <c r="I44" s="3">
        <v>0</v>
      </c>
      <c r="J44" s="3"/>
      <c r="K44" s="3">
        <v>0</v>
      </c>
      <c r="L44" s="3">
        <v>1</v>
      </c>
      <c r="M44" s="3" t="s">
        <v>27</v>
      </c>
      <c r="N44" s="3"/>
      <c r="O44" s="3" t="s">
        <v>37</v>
      </c>
      <c r="P44" s="3" t="s">
        <v>182</v>
      </c>
      <c r="R44">
        <v>87</v>
      </c>
      <c r="S44">
        <v>69</v>
      </c>
      <c r="T44">
        <v>0</v>
      </c>
    </row>
    <row r="45" spans="1:20" ht="35" customHeight="1" x14ac:dyDescent="0.2">
      <c r="A45" s="12" t="s">
        <v>186</v>
      </c>
      <c r="B45" s="3" t="s">
        <v>187</v>
      </c>
      <c r="C45" s="3">
        <v>1292</v>
      </c>
      <c r="D45" s="3" t="s">
        <v>188</v>
      </c>
      <c r="E45" s="3" t="s">
        <v>189</v>
      </c>
      <c r="F45" s="7" t="s">
        <v>87</v>
      </c>
      <c r="G45" s="3"/>
      <c r="H45" s="3">
        <v>62</v>
      </c>
      <c r="I45" s="3">
        <v>0</v>
      </c>
      <c r="J45" s="3"/>
      <c r="K45" s="3">
        <v>0</v>
      </c>
      <c r="L45" s="3">
        <v>0</v>
      </c>
      <c r="M45" s="3" t="s">
        <v>27</v>
      </c>
      <c r="N45" s="3" t="s">
        <v>190</v>
      </c>
      <c r="O45" s="3" t="s">
        <v>191</v>
      </c>
      <c r="P45" s="3" t="s">
        <v>192</v>
      </c>
      <c r="R45">
        <v>9</v>
      </c>
      <c r="S45">
        <v>9</v>
      </c>
      <c r="T45">
        <v>0</v>
      </c>
    </row>
    <row r="46" spans="1:20" ht="23.75" customHeight="1" x14ac:dyDescent="0.2">
      <c r="A46" s="12" t="s">
        <v>193</v>
      </c>
      <c r="B46" s="3" t="s">
        <v>194</v>
      </c>
      <c r="C46" s="3">
        <v>1687</v>
      </c>
      <c r="D46" s="3" t="s">
        <v>195</v>
      </c>
      <c r="E46" s="3" t="s">
        <v>196</v>
      </c>
      <c r="F46" s="7" t="s">
        <v>87</v>
      </c>
      <c r="G46" s="3" t="s">
        <v>34</v>
      </c>
      <c r="H46" s="3">
        <v>0</v>
      </c>
      <c r="I46" s="3">
        <v>0</v>
      </c>
      <c r="J46" s="3"/>
      <c r="K46" s="3">
        <v>0</v>
      </c>
      <c r="L46" s="3">
        <v>0</v>
      </c>
      <c r="M46" s="3" t="s">
        <v>53</v>
      </c>
      <c r="N46" s="3"/>
      <c r="O46" s="3"/>
      <c r="P46" s="3" t="s">
        <v>197</v>
      </c>
      <c r="R46">
        <v>22</v>
      </c>
      <c r="S46">
        <v>5</v>
      </c>
      <c r="T46">
        <v>36</v>
      </c>
    </row>
    <row r="47" spans="1:20" ht="15" customHeight="1" x14ac:dyDescent="0.2">
      <c r="A47" s="13" t="s">
        <v>198</v>
      </c>
      <c r="B47" s="3" t="s">
        <v>199</v>
      </c>
      <c r="C47" s="3">
        <v>1074</v>
      </c>
      <c r="D47" s="3" t="s">
        <v>200</v>
      </c>
      <c r="E47" s="3" t="s">
        <v>201</v>
      </c>
      <c r="F47" s="7" t="s">
        <v>87</v>
      </c>
      <c r="G47" s="3" t="s">
        <v>146</v>
      </c>
      <c r="H47" s="3">
        <v>47</v>
      </c>
      <c r="I47" s="3">
        <v>0</v>
      </c>
      <c r="J47" s="3"/>
      <c r="K47" s="3">
        <v>0</v>
      </c>
      <c r="L47" s="3">
        <v>2</v>
      </c>
      <c r="M47" s="3" t="s">
        <v>53</v>
      </c>
      <c r="N47" s="3"/>
      <c r="O47" s="3" t="s">
        <v>37</v>
      </c>
      <c r="P47" s="3" t="s">
        <v>202</v>
      </c>
      <c r="R47">
        <v>0</v>
      </c>
      <c r="S47">
        <v>0</v>
      </c>
      <c r="T47">
        <v>0</v>
      </c>
    </row>
    <row r="48" spans="1:20" ht="23.75" customHeight="1" x14ac:dyDescent="0.2">
      <c r="A48" s="13" t="s">
        <v>198</v>
      </c>
      <c r="B48" s="3" t="s">
        <v>203</v>
      </c>
      <c r="C48" s="3">
        <v>1080</v>
      </c>
      <c r="D48" s="3" t="s">
        <v>204</v>
      </c>
      <c r="E48" s="3" t="s">
        <v>201</v>
      </c>
      <c r="F48" s="7" t="s">
        <v>87</v>
      </c>
      <c r="G48" s="3" t="s">
        <v>146</v>
      </c>
      <c r="H48" s="3">
        <v>152</v>
      </c>
      <c r="I48" s="3">
        <v>0</v>
      </c>
      <c r="J48" s="3"/>
      <c r="K48" s="3">
        <v>1</v>
      </c>
      <c r="L48" s="3">
        <v>0</v>
      </c>
      <c r="M48" s="3" t="s">
        <v>53</v>
      </c>
      <c r="N48" s="3"/>
      <c r="O48" s="3"/>
      <c r="P48" s="3" t="s">
        <v>205</v>
      </c>
      <c r="R48">
        <v>0</v>
      </c>
      <c r="S48">
        <v>0</v>
      </c>
      <c r="T48">
        <v>0</v>
      </c>
    </row>
    <row r="49" spans="1:20" ht="23.75" customHeight="1" x14ac:dyDescent="0.2">
      <c r="A49" s="13" t="s">
        <v>198</v>
      </c>
      <c r="B49" s="3" t="s">
        <v>206</v>
      </c>
      <c r="C49" s="3">
        <v>1078</v>
      </c>
      <c r="D49" s="3" t="s">
        <v>207</v>
      </c>
      <c r="E49" s="3" t="s">
        <v>208</v>
      </c>
      <c r="F49" s="7" t="s">
        <v>87</v>
      </c>
      <c r="G49" s="3" t="s">
        <v>146</v>
      </c>
      <c r="H49" s="3">
        <v>91</v>
      </c>
      <c r="I49" s="3">
        <v>0</v>
      </c>
      <c r="J49" s="3"/>
      <c r="K49" s="3">
        <v>0</v>
      </c>
      <c r="L49" s="3">
        <v>1</v>
      </c>
      <c r="M49" s="3" t="s">
        <v>53</v>
      </c>
      <c r="N49" s="3"/>
      <c r="O49" s="3" t="s">
        <v>37</v>
      </c>
      <c r="P49" s="3" t="s">
        <v>205</v>
      </c>
      <c r="R49">
        <v>0</v>
      </c>
      <c r="S49">
        <v>0</v>
      </c>
      <c r="T49">
        <v>0</v>
      </c>
    </row>
    <row r="50" spans="1:20" ht="23.75" customHeight="1" x14ac:dyDescent="0.2">
      <c r="A50" s="13" t="s">
        <v>198</v>
      </c>
      <c r="B50" s="3" t="s">
        <v>209</v>
      </c>
      <c r="C50" s="3">
        <v>1093</v>
      </c>
      <c r="D50" s="3" t="s">
        <v>210</v>
      </c>
      <c r="E50" s="3" t="s">
        <v>211</v>
      </c>
      <c r="F50" s="7" t="s">
        <v>87</v>
      </c>
      <c r="G50" s="3" t="s">
        <v>146</v>
      </c>
      <c r="H50" s="3">
        <v>99</v>
      </c>
      <c r="I50" s="3">
        <v>0</v>
      </c>
      <c r="J50" s="3"/>
      <c r="K50" s="3">
        <v>0</v>
      </c>
      <c r="L50" s="3">
        <v>1</v>
      </c>
      <c r="M50" s="3" t="s">
        <v>53</v>
      </c>
      <c r="N50" s="3"/>
      <c r="O50" s="3" t="s">
        <v>37</v>
      </c>
      <c r="P50" s="3" t="s">
        <v>205</v>
      </c>
      <c r="R50">
        <v>0</v>
      </c>
      <c r="S50">
        <v>0</v>
      </c>
      <c r="T50">
        <v>0</v>
      </c>
    </row>
    <row r="51" spans="1:20" ht="15" customHeight="1" x14ac:dyDescent="0.2">
      <c r="A51" s="14" t="s">
        <v>212</v>
      </c>
      <c r="B51" s="3" t="s">
        <v>213</v>
      </c>
      <c r="C51" s="3">
        <v>1455</v>
      </c>
      <c r="D51" s="3" t="s">
        <v>214</v>
      </c>
      <c r="E51" s="3" t="s">
        <v>215</v>
      </c>
      <c r="F51" s="7" t="s">
        <v>87</v>
      </c>
      <c r="G51" s="3"/>
      <c r="H51" s="3">
        <v>809</v>
      </c>
      <c r="I51" s="3">
        <v>0</v>
      </c>
      <c r="J51" s="3"/>
      <c r="K51" s="3">
        <v>0</v>
      </c>
      <c r="L51" s="3">
        <v>1</v>
      </c>
      <c r="M51" s="3" t="s">
        <v>36</v>
      </c>
      <c r="N51" s="3"/>
      <c r="O51" s="3" t="s">
        <v>37</v>
      </c>
      <c r="P51" s="3" t="s">
        <v>216</v>
      </c>
      <c r="R51">
        <v>59</v>
      </c>
      <c r="S51">
        <v>45</v>
      </c>
      <c r="T51">
        <v>0</v>
      </c>
    </row>
    <row r="52" spans="1:20" ht="15" customHeight="1" x14ac:dyDescent="0.2">
      <c r="A52" s="14" t="s">
        <v>217</v>
      </c>
      <c r="B52" s="3" t="s">
        <v>218</v>
      </c>
      <c r="C52" s="3">
        <v>813</v>
      </c>
      <c r="D52" s="3" t="s">
        <v>219</v>
      </c>
      <c r="E52" s="3" t="s">
        <v>220</v>
      </c>
      <c r="F52" s="7" t="s">
        <v>87</v>
      </c>
      <c r="G52" s="3"/>
      <c r="H52" s="3">
        <v>194</v>
      </c>
      <c r="I52" s="3">
        <v>0</v>
      </c>
      <c r="J52" s="3"/>
      <c r="K52" s="3">
        <v>0</v>
      </c>
      <c r="L52" s="3">
        <v>0</v>
      </c>
      <c r="M52" s="3" t="s">
        <v>53</v>
      </c>
      <c r="N52" s="3"/>
      <c r="O52" s="3" t="s">
        <v>221</v>
      </c>
      <c r="P52" s="3" t="s">
        <v>222</v>
      </c>
      <c r="R52">
        <v>19</v>
      </c>
      <c r="S52">
        <v>11</v>
      </c>
      <c r="T52">
        <v>0</v>
      </c>
    </row>
    <row r="53" spans="1:20" ht="15" customHeight="1" x14ac:dyDescent="0.2">
      <c r="A53" s="14" t="s">
        <v>217</v>
      </c>
      <c r="B53" s="3" t="s">
        <v>223</v>
      </c>
      <c r="C53" s="3">
        <v>892</v>
      </c>
      <c r="D53" s="3" t="s">
        <v>224</v>
      </c>
      <c r="E53" s="3" t="s">
        <v>225</v>
      </c>
      <c r="F53" s="7" t="s">
        <v>87</v>
      </c>
      <c r="G53" s="3"/>
      <c r="H53" s="3">
        <v>0</v>
      </c>
      <c r="I53" s="3">
        <v>0</v>
      </c>
      <c r="J53" s="3"/>
      <c r="K53" s="3">
        <v>0</v>
      </c>
      <c r="L53" s="3">
        <v>0</v>
      </c>
      <c r="M53" s="3" t="s">
        <v>53</v>
      </c>
      <c r="N53" s="3"/>
      <c r="O53" s="3"/>
      <c r="P53" s="3" t="s">
        <v>222</v>
      </c>
      <c r="R53">
        <v>19</v>
      </c>
      <c r="S53">
        <v>18</v>
      </c>
      <c r="T53">
        <v>0</v>
      </c>
    </row>
    <row r="54" spans="1:20" ht="15" customHeight="1" x14ac:dyDescent="0.2">
      <c r="A54" s="14" t="s">
        <v>226</v>
      </c>
      <c r="B54" s="3" t="s">
        <v>227</v>
      </c>
      <c r="C54" s="3">
        <v>271</v>
      </c>
      <c r="D54" s="3" t="s">
        <v>228</v>
      </c>
      <c r="E54" s="3" t="s">
        <v>229</v>
      </c>
      <c r="F54" s="7" t="s">
        <v>87</v>
      </c>
      <c r="G54" s="3"/>
      <c r="H54" s="3">
        <v>0</v>
      </c>
      <c r="I54" s="3">
        <v>0</v>
      </c>
      <c r="J54" s="3"/>
      <c r="K54" s="3">
        <v>0</v>
      </c>
      <c r="L54" s="3">
        <v>0</v>
      </c>
      <c r="M54" s="3"/>
      <c r="N54" s="3"/>
      <c r="O54" s="3"/>
      <c r="P54" s="3" t="s">
        <v>230</v>
      </c>
      <c r="R54">
        <v>17</v>
      </c>
      <c r="S54">
        <v>16</v>
      </c>
      <c r="T54">
        <v>0</v>
      </c>
    </row>
    <row r="55" spans="1:20" ht="15" customHeight="1" x14ac:dyDescent="0.2">
      <c r="A55" s="14" t="s">
        <v>226</v>
      </c>
      <c r="B55" s="3" t="s">
        <v>231</v>
      </c>
      <c r="C55" s="3">
        <v>156</v>
      </c>
      <c r="D55" s="3" t="s">
        <v>232</v>
      </c>
      <c r="E55" s="3" t="s">
        <v>233</v>
      </c>
      <c r="F55" s="7" t="s">
        <v>87</v>
      </c>
      <c r="G55" s="3"/>
      <c r="H55" s="3">
        <v>0</v>
      </c>
      <c r="I55" s="3">
        <v>0</v>
      </c>
      <c r="J55" s="3"/>
      <c r="K55" s="3">
        <v>0</v>
      </c>
      <c r="L55" s="3">
        <v>0</v>
      </c>
      <c r="M55" s="3"/>
      <c r="N55" s="3"/>
      <c r="O55" s="3"/>
      <c r="P55" s="3" t="s">
        <v>230</v>
      </c>
      <c r="R55">
        <v>22</v>
      </c>
      <c r="S55">
        <v>21</v>
      </c>
      <c r="T55">
        <v>0</v>
      </c>
    </row>
    <row r="56" spans="1:20" ht="15" customHeight="1" x14ac:dyDescent="0.2">
      <c r="A56" s="14" t="s">
        <v>226</v>
      </c>
      <c r="B56" s="3" t="s">
        <v>234</v>
      </c>
      <c r="C56" s="3">
        <v>152</v>
      </c>
      <c r="D56" s="3" t="s">
        <v>235</v>
      </c>
      <c r="E56" s="3" t="s">
        <v>233</v>
      </c>
      <c r="F56" s="7" t="s">
        <v>87</v>
      </c>
      <c r="G56" s="3"/>
      <c r="H56" s="3">
        <v>0</v>
      </c>
      <c r="I56" s="3">
        <v>0</v>
      </c>
      <c r="J56" s="3"/>
      <c r="K56" s="3">
        <v>0</v>
      </c>
      <c r="L56" s="3">
        <v>0</v>
      </c>
      <c r="M56" s="3"/>
      <c r="N56" s="3"/>
      <c r="O56" s="3"/>
      <c r="P56" s="3" t="s">
        <v>230</v>
      </c>
      <c r="R56">
        <v>12</v>
      </c>
      <c r="S56">
        <v>11</v>
      </c>
      <c r="T56">
        <v>0</v>
      </c>
    </row>
    <row r="58" spans="1:20" ht="15" customHeight="1" x14ac:dyDescent="0.2">
      <c r="A58" s="15" t="s">
        <v>236</v>
      </c>
    </row>
    <row r="59" spans="1:20" ht="15" customHeight="1" x14ac:dyDescent="0.2">
      <c r="A59" s="16" t="s">
        <v>21</v>
      </c>
      <c r="B59" s="17">
        <v>9</v>
      </c>
    </row>
    <row r="60" spans="1:20" ht="15" customHeight="1" x14ac:dyDescent="0.2">
      <c r="A60" s="18" t="s">
        <v>74</v>
      </c>
      <c r="B60" s="17">
        <v>21</v>
      </c>
    </row>
    <row r="61" spans="1:20" ht="15" customHeight="1" x14ac:dyDescent="0.2">
      <c r="A61" s="19" t="s">
        <v>154</v>
      </c>
      <c r="B61" s="17">
        <v>2</v>
      </c>
    </row>
    <row r="62" spans="1:20" ht="15" customHeight="1" x14ac:dyDescent="0.2">
      <c r="A62" s="20" t="s">
        <v>237</v>
      </c>
      <c r="B62" s="17">
        <v>1</v>
      </c>
    </row>
    <row r="63" spans="1:20" ht="15" customHeight="1" x14ac:dyDescent="0.2">
      <c r="A63" s="21" t="s">
        <v>238</v>
      </c>
      <c r="B63" s="17">
        <v>1</v>
      </c>
    </row>
    <row r="64" spans="1:20" ht="15" customHeight="1" x14ac:dyDescent="0.2">
      <c r="A64" s="22" t="s">
        <v>166</v>
      </c>
      <c r="B64" s="17">
        <v>5</v>
      </c>
    </row>
    <row r="65" spans="1:20" ht="15" customHeight="1" x14ac:dyDescent="0.2">
      <c r="A65" s="22" t="s">
        <v>178</v>
      </c>
      <c r="B65" s="17">
        <v>3</v>
      </c>
    </row>
    <row r="66" spans="1:20" ht="15" customHeight="1" x14ac:dyDescent="0.2">
      <c r="A66" s="23" t="s">
        <v>239</v>
      </c>
      <c r="B66" s="17">
        <v>1</v>
      </c>
    </row>
    <row r="67" spans="1:20" ht="15" customHeight="1" x14ac:dyDescent="0.2">
      <c r="A67" s="23" t="s">
        <v>193</v>
      </c>
      <c r="B67" s="17">
        <v>1</v>
      </c>
    </row>
    <row r="68" spans="1:20" ht="15" customHeight="1" x14ac:dyDescent="0.2">
      <c r="A68" s="24" t="s">
        <v>198</v>
      </c>
      <c r="B68" s="17">
        <v>4</v>
      </c>
    </row>
    <row r="69" spans="1:20" ht="15" customHeight="1" x14ac:dyDescent="0.2">
      <c r="A69" s="25" t="s">
        <v>217</v>
      </c>
      <c r="B69" s="17">
        <v>3</v>
      </c>
    </row>
    <row r="70" spans="1:20" ht="15" customHeight="1" x14ac:dyDescent="0.2">
      <c r="A70" s="25" t="s">
        <v>226</v>
      </c>
      <c r="B70" s="17">
        <v>3</v>
      </c>
    </row>
    <row r="71" spans="1:20" ht="15" customHeight="1" x14ac:dyDescent="0.2">
      <c r="A71" s="26" t="s">
        <v>240</v>
      </c>
      <c r="B71" s="26">
        <f>SUM(B59:B70)</f>
        <v>54</v>
      </c>
      <c r="R71">
        <v>0</v>
      </c>
      <c r="S71">
        <v>0</v>
      </c>
      <c r="T71">
        <v>0</v>
      </c>
    </row>
    <row r="72" spans="1:20" x14ac:dyDescent="0.2">
      <c r="A72" t="s">
        <v>241</v>
      </c>
      <c r="B72" t="s">
        <v>242</v>
      </c>
      <c r="D72" t="s">
        <v>243</v>
      </c>
      <c r="F72" t="s">
        <v>87</v>
      </c>
      <c r="P72" t="s">
        <v>244</v>
      </c>
      <c r="R72">
        <v>66</v>
      </c>
      <c r="S72">
        <v>62</v>
      </c>
    </row>
  </sheetData>
  <autoFilter ref="A2:P56" xr:uid="{00000000-0009-0000-0000-000000000000}"/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zoomScaleNormal="100" workbookViewId="0">
      <pane ySplit="2" topLeftCell="A4" activePane="bottomLeft" state="frozen"/>
      <selection pane="bottomLeft" activeCell="E9" sqref="E9"/>
    </sheetView>
  </sheetViews>
  <sheetFormatPr baseColWidth="10" defaultColWidth="8.6640625" defaultRowHeight="15" x14ac:dyDescent="0.2"/>
  <cols>
    <col min="1" max="1" width="20" customWidth="1"/>
    <col min="2" max="2" width="35" customWidth="1"/>
    <col min="3" max="3" width="50" customWidth="1"/>
    <col min="4" max="5" width="35" customWidth="1"/>
    <col min="6" max="6" width="50" customWidth="1"/>
  </cols>
  <sheetData>
    <row r="1" spans="1:6" ht="27.75" customHeight="1" x14ac:dyDescent="0.2">
      <c r="A1" s="30" t="s">
        <v>245</v>
      </c>
      <c r="B1" s="31"/>
      <c r="C1" s="31"/>
      <c r="D1" s="31"/>
      <c r="E1" s="31"/>
      <c r="F1" s="31"/>
    </row>
    <row r="2" spans="1:6" ht="31.5" customHeight="1" x14ac:dyDescent="0.2">
      <c r="A2" s="1" t="s">
        <v>246</v>
      </c>
      <c r="B2" s="1" t="s">
        <v>14</v>
      </c>
      <c r="C2" s="1" t="s">
        <v>247</v>
      </c>
      <c r="D2" s="1" t="s">
        <v>248</v>
      </c>
      <c r="E2" s="1" t="s">
        <v>249</v>
      </c>
      <c r="F2" s="1" t="s">
        <v>250</v>
      </c>
    </row>
    <row r="3" spans="1:6" ht="79.5" customHeight="1" x14ac:dyDescent="0.2">
      <c r="A3" s="3" t="s">
        <v>251</v>
      </c>
      <c r="B3" s="3" t="s">
        <v>252</v>
      </c>
      <c r="C3" s="3" t="s">
        <v>253</v>
      </c>
      <c r="D3" s="3" t="s">
        <v>254</v>
      </c>
      <c r="E3" s="3" t="s">
        <v>255</v>
      </c>
      <c r="F3" s="3" t="s">
        <v>256</v>
      </c>
    </row>
    <row r="4" spans="1:6" ht="199.5" customHeight="1" x14ac:dyDescent="0.2">
      <c r="A4" s="3" t="s">
        <v>257</v>
      </c>
      <c r="B4" s="3" t="s">
        <v>258</v>
      </c>
      <c r="C4" s="3" t="s">
        <v>259</v>
      </c>
      <c r="D4" s="3" t="s">
        <v>260</v>
      </c>
      <c r="E4" s="3" t="s">
        <v>261</v>
      </c>
      <c r="F4" s="3" t="s">
        <v>262</v>
      </c>
    </row>
    <row r="5" spans="1:6" ht="129.75" customHeight="1" x14ac:dyDescent="0.2">
      <c r="A5" s="7" t="s">
        <v>263</v>
      </c>
      <c r="B5" s="7" t="s">
        <v>264</v>
      </c>
      <c r="C5" s="7" t="s">
        <v>265</v>
      </c>
      <c r="D5" s="7" t="s">
        <v>266</v>
      </c>
      <c r="E5" s="7" t="s">
        <v>267</v>
      </c>
      <c r="F5" s="7" t="s">
        <v>268</v>
      </c>
    </row>
    <row r="6" spans="1:6" ht="69.75" customHeight="1" x14ac:dyDescent="0.2">
      <c r="A6" s="3" t="s">
        <v>269</v>
      </c>
      <c r="B6" s="3" t="s">
        <v>270</v>
      </c>
      <c r="C6" s="3" t="s">
        <v>271</v>
      </c>
      <c r="D6" s="3" t="s">
        <v>272</v>
      </c>
      <c r="E6" s="3" t="s">
        <v>273</v>
      </c>
      <c r="F6" s="3" t="s">
        <v>274</v>
      </c>
    </row>
    <row r="7" spans="1:6" ht="90" customHeight="1" x14ac:dyDescent="0.2">
      <c r="A7" s="27" t="s">
        <v>275</v>
      </c>
      <c r="B7" s="27" t="s">
        <v>276</v>
      </c>
      <c r="C7" s="27" t="s">
        <v>277</v>
      </c>
      <c r="D7" s="27" t="s">
        <v>260</v>
      </c>
      <c r="E7" s="27" t="s">
        <v>278</v>
      </c>
      <c r="F7" s="27" t="s">
        <v>279</v>
      </c>
    </row>
    <row r="8" spans="1:6" ht="90" customHeight="1" x14ac:dyDescent="0.2">
      <c r="A8" s="27" t="s">
        <v>275</v>
      </c>
      <c r="B8" s="27" t="s">
        <v>280</v>
      </c>
      <c r="C8" s="27" t="s">
        <v>281</v>
      </c>
      <c r="D8" s="27" t="s">
        <v>260</v>
      </c>
      <c r="E8" s="27" t="s">
        <v>278</v>
      </c>
      <c r="F8" s="27" t="s">
        <v>282</v>
      </c>
    </row>
    <row r="9" spans="1:6" ht="17" x14ac:dyDescent="0.25">
      <c r="A9" t="s">
        <v>539</v>
      </c>
      <c r="E9" s="32" t="s">
        <v>540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16" customWidth="1"/>
    <col min="2" max="2" width="6" customWidth="1"/>
    <col min="3" max="3" width="25" customWidth="1"/>
    <col min="4" max="4" width="45" customWidth="1"/>
    <col min="5" max="6" width="11" customWidth="1"/>
    <col min="7" max="7" width="60" customWidth="1"/>
  </cols>
  <sheetData>
    <row r="1" spans="1:7" ht="27.75" customHeight="1" x14ac:dyDescent="0.2">
      <c r="A1" s="30" t="s">
        <v>283</v>
      </c>
      <c r="B1" s="31"/>
      <c r="C1" s="31"/>
      <c r="D1" s="31"/>
      <c r="E1" s="31"/>
      <c r="F1" s="31"/>
      <c r="G1" s="31"/>
    </row>
    <row r="2" spans="1:7" ht="31.5" customHeight="1" x14ac:dyDescent="0.2">
      <c r="A2" s="1" t="s">
        <v>284</v>
      </c>
      <c r="B2" s="1" t="s">
        <v>3</v>
      </c>
      <c r="C2" s="1" t="s">
        <v>2</v>
      </c>
      <c r="D2" s="1" t="s">
        <v>4</v>
      </c>
      <c r="E2" s="1" t="s">
        <v>5</v>
      </c>
      <c r="F2" s="1" t="s">
        <v>8</v>
      </c>
      <c r="G2" s="1" t="s">
        <v>16</v>
      </c>
    </row>
    <row r="3" spans="1:7" ht="23.75" customHeight="1" x14ac:dyDescent="0.2">
      <c r="A3" s="14" t="s">
        <v>285</v>
      </c>
      <c r="B3" s="3">
        <v>137</v>
      </c>
      <c r="C3" s="3" t="s">
        <v>64</v>
      </c>
      <c r="D3" s="3" t="s">
        <v>286</v>
      </c>
      <c r="E3" s="3" t="s">
        <v>287</v>
      </c>
      <c r="F3" s="3">
        <v>0</v>
      </c>
      <c r="G3" s="3" t="s">
        <v>288</v>
      </c>
    </row>
    <row r="4" spans="1:7" ht="15" customHeight="1" x14ac:dyDescent="0.2">
      <c r="A4" s="14" t="s">
        <v>285</v>
      </c>
      <c r="B4" s="3">
        <v>158</v>
      </c>
      <c r="C4" s="3" t="s">
        <v>289</v>
      </c>
      <c r="D4" s="3" t="s">
        <v>290</v>
      </c>
      <c r="E4" s="3" t="s">
        <v>287</v>
      </c>
      <c r="F4" s="3">
        <v>0</v>
      </c>
      <c r="G4" s="3" t="s">
        <v>291</v>
      </c>
    </row>
    <row r="5" spans="1:7" ht="15" customHeight="1" x14ac:dyDescent="0.2">
      <c r="A5" s="14" t="s">
        <v>285</v>
      </c>
      <c r="B5" s="3">
        <v>159</v>
      </c>
      <c r="C5" s="3" t="s">
        <v>292</v>
      </c>
      <c r="D5" s="3" t="s">
        <v>293</v>
      </c>
      <c r="E5" s="3" t="s">
        <v>136</v>
      </c>
      <c r="F5" s="3">
        <v>846</v>
      </c>
      <c r="G5" s="3" t="s">
        <v>294</v>
      </c>
    </row>
    <row r="6" spans="1:7" ht="15" customHeight="1" x14ac:dyDescent="0.2">
      <c r="A6" s="14" t="s">
        <v>285</v>
      </c>
      <c r="B6" s="3">
        <v>258</v>
      </c>
      <c r="C6" s="3" t="s">
        <v>295</v>
      </c>
      <c r="D6" s="3" t="s">
        <v>296</v>
      </c>
      <c r="E6" s="3" t="s">
        <v>287</v>
      </c>
      <c r="F6" s="3">
        <v>0</v>
      </c>
      <c r="G6" s="3" t="s">
        <v>297</v>
      </c>
    </row>
    <row r="7" spans="1:7" ht="15" customHeight="1" x14ac:dyDescent="0.2">
      <c r="A7" s="14" t="s">
        <v>285</v>
      </c>
      <c r="B7" s="3">
        <v>1194</v>
      </c>
      <c r="C7" s="3"/>
      <c r="D7" s="3" t="s">
        <v>298</v>
      </c>
      <c r="E7" s="3" t="s">
        <v>82</v>
      </c>
      <c r="F7" s="3">
        <v>267</v>
      </c>
      <c r="G7" s="3" t="s">
        <v>299</v>
      </c>
    </row>
    <row r="8" spans="1:7" ht="23.75" customHeight="1" x14ac:dyDescent="0.2">
      <c r="A8" s="12" t="s">
        <v>300</v>
      </c>
      <c r="B8" s="3">
        <v>1207</v>
      </c>
      <c r="C8" s="3"/>
      <c r="D8" s="3" t="s">
        <v>301</v>
      </c>
      <c r="E8" s="3" t="s">
        <v>82</v>
      </c>
      <c r="F8" s="3">
        <v>236</v>
      </c>
      <c r="G8" s="3" t="s">
        <v>302</v>
      </c>
    </row>
    <row r="9" spans="1:7" ht="15" customHeight="1" x14ac:dyDescent="0.2">
      <c r="A9" s="14" t="s">
        <v>285</v>
      </c>
      <c r="B9" s="3">
        <v>1249</v>
      </c>
      <c r="C9" s="3"/>
      <c r="D9" s="3" t="s">
        <v>298</v>
      </c>
      <c r="E9" s="3" t="s">
        <v>303</v>
      </c>
      <c r="F9" s="3">
        <v>272</v>
      </c>
      <c r="G9" s="3" t="s">
        <v>299</v>
      </c>
    </row>
    <row r="10" spans="1:7" ht="15" customHeight="1" x14ac:dyDescent="0.2">
      <c r="A10" s="14" t="s">
        <v>285</v>
      </c>
      <c r="B10" s="3">
        <v>1299</v>
      </c>
      <c r="C10" s="3"/>
      <c r="D10" s="3" t="s">
        <v>304</v>
      </c>
      <c r="E10" s="3" t="s">
        <v>305</v>
      </c>
      <c r="F10" s="3">
        <v>0</v>
      </c>
      <c r="G10" s="3" t="s">
        <v>306</v>
      </c>
    </row>
    <row r="11" spans="1:7" ht="23.75" customHeight="1" x14ac:dyDescent="0.2">
      <c r="A11" s="12" t="s">
        <v>300</v>
      </c>
      <c r="B11" s="3">
        <v>1550</v>
      </c>
      <c r="C11" s="3" t="s">
        <v>307</v>
      </c>
      <c r="D11" s="3" t="s">
        <v>308</v>
      </c>
      <c r="E11" s="3" t="s">
        <v>309</v>
      </c>
      <c r="F11" s="3">
        <v>186</v>
      </c>
      <c r="G11" s="3" t="s">
        <v>310</v>
      </c>
    </row>
    <row r="12" spans="1:7" ht="15" customHeight="1" x14ac:dyDescent="0.2">
      <c r="A12" s="14" t="s">
        <v>285</v>
      </c>
      <c r="B12" s="3">
        <v>1632</v>
      </c>
      <c r="C12" s="3" t="s">
        <v>311</v>
      </c>
      <c r="D12" s="3" t="s">
        <v>312</v>
      </c>
      <c r="E12" s="3" t="s">
        <v>118</v>
      </c>
      <c r="F12" s="3">
        <v>310</v>
      </c>
      <c r="G12" s="3" t="s">
        <v>313</v>
      </c>
    </row>
    <row r="13" spans="1:7" ht="15" customHeight="1" x14ac:dyDescent="0.2">
      <c r="A13" s="14" t="s">
        <v>285</v>
      </c>
      <c r="B13" s="3">
        <v>1718</v>
      </c>
      <c r="C13" s="3"/>
      <c r="D13" s="3" t="s">
        <v>314</v>
      </c>
      <c r="E13" s="3" t="s">
        <v>315</v>
      </c>
      <c r="F13" s="3">
        <v>68</v>
      </c>
      <c r="G13" s="3" t="s">
        <v>299</v>
      </c>
    </row>
    <row r="14" spans="1:7" ht="23.75" customHeight="1" x14ac:dyDescent="0.2">
      <c r="A14" s="13" t="s">
        <v>198</v>
      </c>
      <c r="B14" s="3">
        <v>2100</v>
      </c>
      <c r="C14" s="3" t="s">
        <v>316</v>
      </c>
      <c r="D14" s="3" t="s">
        <v>317</v>
      </c>
      <c r="E14" s="3" t="s">
        <v>32</v>
      </c>
      <c r="F14" s="3">
        <v>583</v>
      </c>
      <c r="G14" s="3" t="s">
        <v>318</v>
      </c>
    </row>
    <row r="15" spans="1:7" ht="15" customHeight="1" x14ac:dyDescent="0.2">
      <c r="A15" s="14" t="s">
        <v>285</v>
      </c>
      <c r="B15" s="3">
        <v>2123</v>
      </c>
      <c r="C15" s="3"/>
      <c r="D15" s="3" t="s">
        <v>319</v>
      </c>
      <c r="E15" s="3" t="s">
        <v>320</v>
      </c>
      <c r="F15" s="3">
        <v>0</v>
      </c>
      <c r="G15" s="3" t="s">
        <v>321</v>
      </c>
    </row>
    <row r="16" spans="1:7" ht="15" customHeight="1" x14ac:dyDescent="0.2">
      <c r="A16" s="14" t="s">
        <v>285</v>
      </c>
      <c r="B16" s="3">
        <v>2125</v>
      </c>
      <c r="C16" s="3"/>
      <c r="D16" s="3" t="s">
        <v>322</v>
      </c>
      <c r="E16" s="3" t="s">
        <v>323</v>
      </c>
      <c r="F16" s="3">
        <v>2219</v>
      </c>
      <c r="G16" s="3" t="s">
        <v>299</v>
      </c>
    </row>
  </sheetData>
  <autoFilter ref="A2:G16" xr:uid="{00000000-0009-0000-0000-000002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3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7" customWidth="1"/>
    <col min="2" max="2" width="45" customWidth="1"/>
    <col min="3" max="3" width="60" customWidth="1"/>
    <col min="4" max="5" width="11" customWidth="1"/>
  </cols>
  <sheetData>
    <row r="1" spans="1:5" ht="27.75" customHeight="1" x14ac:dyDescent="0.2">
      <c r="A1" s="30" t="s">
        <v>324</v>
      </c>
      <c r="B1" s="31"/>
      <c r="C1" s="31"/>
      <c r="D1" s="31"/>
      <c r="E1" s="31"/>
    </row>
    <row r="2" spans="1:5" ht="15" customHeight="1" x14ac:dyDescent="0.2">
      <c r="A2" s="28" t="s">
        <v>3</v>
      </c>
      <c r="B2" s="28" t="s">
        <v>2</v>
      </c>
      <c r="C2" s="28" t="s">
        <v>4</v>
      </c>
      <c r="D2" s="28" t="s">
        <v>5</v>
      </c>
      <c r="E2" s="28" t="s">
        <v>8</v>
      </c>
    </row>
    <row r="3" spans="1:5" ht="23.75" customHeight="1" x14ac:dyDescent="0.2">
      <c r="A3" s="3">
        <v>2162</v>
      </c>
      <c r="B3" s="3" t="s">
        <v>325</v>
      </c>
      <c r="C3" s="3" t="s">
        <v>326</v>
      </c>
      <c r="D3" s="3" t="s">
        <v>327</v>
      </c>
      <c r="E3" s="3">
        <v>2666</v>
      </c>
    </row>
    <row r="4" spans="1:5" ht="23.75" customHeight="1" x14ac:dyDescent="0.2">
      <c r="A4" s="3">
        <v>2055</v>
      </c>
      <c r="B4" s="3" t="s">
        <v>328</v>
      </c>
      <c r="C4" s="3" t="s">
        <v>329</v>
      </c>
      <c r="D4" s="3" t="s">
        <v>330</v>
      </c>
      <c r="E4" s="3">
        <v>481</v>
      </c>
    </row>
    <row r="5" spans="1:5" ht="23.75" customHeight="1" x14ac:dyDescent="0.2">
      <c r="A5" s="3">
        <v>2064</v>
      </c>
      <c r="B5" s="3" t="s">
        <v>331</v>
      </c>
      <c r="C5" s="3" t="s">
        <v>332</v>
      </c>
      <c r="D5" s="3" t="s">
        <v>32</v>
      </c>
      <c r="E5" s="3">
        <v>751</v>
      </c>
    </row>
    <row r="6" spans="1:5" ht="23.75" customHeight="1" x14ac:dyDescent="0.2">
      <c r="A6" s="3">
        <v>1660</v>
      </c>
      <c r="B6" s="3" t="s">
        <v>333</v>
      </c>
      <c r="C6" s="3" t="s">
        <v>334</v>
      </c>
      <c r="D6" s="3" t="s">
        <v>335</v>
      </c>
      <c r="E6" s="3">
        <v>473</v>
      </c>
    </row>
    <row r="7" spans="1:5" ht="15" customHeight="1" x14ac:dyDescent="0.2">
      <c r="A7" s="3">
        <v>1625</v>
      </c>
      <c r="B7" s="3" t="s">
        <v>336</v>
      </c>
      <c r="C7" s="3" t="s">
        <v>337</v>
      </c>
      <c r="D7" s="3" t="s">
        <v>338</v>
      </c>
      <c r="E7" s="3">
        <v>579</v>
      </c>
    </row>
    <row r="8" spans="1:5" ht="23.75" customHeight="1" x14ac:dyDescent="0.2">
      <c r="A8" s="3">
        <v>1617</v>
      </c>
      <c r="B8" s="3" t="s">
        <v>339</v>
      </c>
      <c r="C8" s="3" t="s">
        <v>340</v>
      </c>
      <c r="D8" s="3" t="s">
        <v>341</v>
      </c>
      <c r="E8" s="3">
        <v>401</v>
      </c>
    </row>
    <row r="9" spans="1:5" ht="23.75" customHeight="1" x14ac:dyDescent="0.2">
      <c r="A9" s="3">
        <v>1609</v>
      </c>
      <c r="B9" s="3" t="s">
        <v>342</v>
      </c>
      <c r="C9" s="3" t="s">
        <v>343</v>
      </c>
      <c r="D9" s="3" t="s">
        <v>344</v>
      </c>
      <c r="E9" s="3">
        <v>575</v>
      </c>
    </row>
    <row r="10" spans="1:5" ht="23.75" customHeight="1" x14ac:dyDescent="0.2">
      <c r="A10" s="3">
        <v>1588</v>
      </c>
      <c r="B10" s="3" t="s">
        <v>345</v>
      </c>
      <c r="C10" s="3" t="s">
        <v>346</v>
      </c>
      <c r="D10" s="3" t="s">
        <v>347</v>
      </c>
      <c r="E10" s="3">
        <v>229</v>
      </c>
    </row>
    <row r="11" spans="1:5" ht="23.75" customHeight="1" x14ac:dyDescent="0.2">
      <c r="A11" s="3">
        <v>1554</v>
      </c>
      <c r="B11" s="3" t="s">
        <v>348</v>
      </c>
      <c r="C11" s="3" t="s">
        <v>349</v>
      </c>
      <c r="D11" s="3" t="s">
        <v>350</v>
      </c>
      <c r="E11" s="3">
        <v>495</v>
      </c>
    </row>
    <row r="12" spans="1:5" ht="23.75" customHeight="1" x14ac:dyDescent="0.2">
      <c r="A12" s="3">
        <v>1498</v>
      </c>
      <c r="B12" s="3" t="s">
        <v>351</v>
      </c>
      <c r="C12" s="3" t="s">
        <v>352</v>
      </c>
      <c r="D12" s="3" t="s">
        <v>353</v>
      </c>
      <c r="E12" s="3">
        <v>419</v>
      </c>
    </row>
    <row r="13" spans="1:5" ht="15" customHeight="1" x14ac:dyDescent="0.2">
      <c r="A13" s="3">
        <v>1416</v>
      </c>
      <c r="B13" s="3" t="s">
        <v>354</v>
      </c>
      <c r="C13" s="3" t="s">
        <v>355</v>
      </c>
      <c r="D13" s="3" t="s">
        <v>356</v>
      </c>
      <c r="E13" s="3">
        <v>564</v>
      </c>
    </row>
    <row r="14" spans="1:5" ht="15" customHeight="1" x14ac:dyDescent="0.2">
      <c r="A14" s="3">
        <v>1462</v>
      </c>
      <c r="B14" s="3" t="s">
        <v>213</v>
      </c>
      <c r="C14" s="3" t="s">
        <v>214</v>
      </c>
      <c r="D14" s="3" t="s">
        <v>357</v>
      </c>
      <c r="E14" s="3">
        <v>814</v>
      </c>
    </row>
    <row r="15" spans="1:5" ht="15" customHeight="1" x14ac:dyDescent="0.2">
      <c r="A15" s="3">
        <v>1468</v>
      </c>
      <c r="B15" s="3" t="s">
        <v>358</v>
      </c>
      <c r="C15" s="3" t="s">
        <v>359</v>
      </c>
      <c r="D15" s="3" t="s">
        <v>360</v>
      </c>
      <c r="E15" s="3">
        <v>112</v>
      </c>
    </row>
    <row r="16" spans="1:5" ht="15" customHeight="1" x14ac:dyDescent="0.2">
      <c r="A16" s="3">
        <v>996</v>
      </c>
      <c r="B16" s="3" t="s">
        <v>361</v>
      </c>
      <c r="C16" s="3" t="s">
        <v>362</v>
      </c>
      <c r="D16" s="3" t="s">
        <v>215</v>
      </c>
      <c r="E16" s="3">
        <v>88</v>
      </c>
    </row>
    <row r="17" spans="1:5" ht="15" customHeight="1" x14ac:dyDescent="0.2">
      <c r="A17" s="3">
        <v>1443</v>
      </c>
      <c r="B17" s="3" t="s">
        <v>363</v>
      </c>
      <c r="C17" s="3" t="s">
        <v>364</v>
      </c>
      <c r="D17" s="3" t="s">
        <v>365</v>
      </c>
      <c r="E17" s="3">
        <v>858</v>
      </c>
    </row>
    <row r="18" spans="1:5" ht="15" customHeight="1" x14ac:dyDescent="0.2">
      <c r="A18" s="3">
        <v>1407</v>
      </c>
      <c r="B18" s="3" t="s">
        <v>366</v>
      </c>
      <c r="C18" s="3" t="s">
        <v>367</v>
      </c>
      <c r="D18" s="3" t="s">
        <v>181</v>
      </c>
      <c r="E18" s="3">
        <v>806</v>
      </c>
    </row>
    <row r="19" spans="1:5" ht="15" customHeight="1" x14ac:dyDescent="0.2">
      <c r="A19" s="3">
        <v>1423</v>
      </c>
      <c r="B19" s="3" t="s">
        <v>368</v>
      </c>
      <c r="C19" s="3" t="s">
        <v>369</v>
      </c>
      <c r="D19" s="3" t="s">
        <v>181</v>
      </c>
      <c r="E19" s="3">
        <v>559</v>
      </c>
    </row>
    <row r="20" spans="1:5" ht="15" customHeight="1" x14ac:dyDescent="0.2">
      <c r="A20" s="3">
        <v>1178</v>
      </c>
      <c r="B20" s="3" t="s">
        <v>370</v>
      </c>
      <c r="C20" s="3" t="s">
        <v>371</v>
      </c>
      <c r="D20" s="3" t="s">
        <v>372</v>
      </c>
      <c r="E20" s="3">
        <v>276</v>
      </c>
    </row>
    <row r="21" spans="1:5" ht="15" customHeight="1" x14ac:dyDescent="0.2">
      <c r="A21" s="3">
        <v>1379</v>
      </c>
      <c r="B21" s="3" t="s">
        <v>373</v>
      </c>
      <c r="C21" s="3" t="s">
        <v>374</v>
      </c>
      <c r="D21" s="3" t="s">
        <v>375</v>
      </c>
      <c r="E21" s="3">
        <v>388</v>
      </c>
    </row>
    <row r="22" spans="1:5" ht="15" customHeight="1" x14ac:dyDescent="0.2">
      <c r="A22" s="3">
        <v>1334</v>
      </c>
      <c r="B22" s="3" t="s">
        <v>242</v>
      </c>
      <c r="C22" s="3" t="s">
        <v>376</v>
      </c>
      <c r="D22" s="3" t="s">
        <v>184</v>
      </c>
      <c r="E22" s="3">
        <v>564</v>
      </c>
    </row>
    <row r="23" spans="1:5" ht="15" customHeight="1" x14ac:dyDescent="0.2">
      <c r="A23" s="3">
        <v>1149</v>
      </c>
      <c r="B23" s="3" t="s">
        <v>377</v>
      </c>
      <c r="C23" s="3" t="s">
        <v>378</v>
      </c>
      <c r="D23" s="3" t="s">
        <v>379</v>
      </c>
      <c r="E23" s="3">
        <v>309</v>
      </c>
    </row>
    <row r="24" spans="1:5" ht="15" customHeight="1" x14ac:dyDescent="0.2">
      <c r="A24" s="3">
        <v>1152</v>
      </c>
      <c r="B24" s="3" t="s">
        <v>380</v>
      </c>
      <c r="C24" s="3" t="s">
        <v>381</v>
      </c>
      <c r="D24" s="3" t="s">
        <v>379</v>
      </c>
      <c r="E24" s="3">
        <v>307</v>
      </c>
    </row>
    <row r="25" spans="1:5" ht="15" customHeight="1" x14ac:dyDescent="0.2">
      <c r="A25" s="3">
        <v>1160</v>
      </c>
      <c r="B25" s="3" t="s">
        <v>382</v>
      </c>
      <c r="C25" s="3" t="s">
        <v>383</v>
      </c>
      <c r="D25" s="3" t="s">
        <v>379</v>
      </c>
      <c r="E25" s="3">
        <v>270</v>
      </c>
    </row>
    <row r="26" spans="1:5" ht="15" customHeight="1" x14ac:dyDescent="0.2">
      <c r="A26" s="3">
        <v>1163</v>
      </c>
      <c r="B26" s="3" t="s">
        <v>384</v>
      </c>
      <c r="C26" s="3" t="s">
        <v>385</v>
      </c>
      <c r="D26" s="3" t="s">
        <v>379</v>
      </c>
      <c r="E26" s="3">
        <v>335</v>
      </c>
    </row>
    <row r="27" spans="1:5" ht="23.75" customHeight="1" x14ac:dyDescent="0.2">
      <c r="A27" s="3">
        <v>1175</v>
      </c>
      <c r="B27" s="3" t="s">
        <v>386</v>
      </c>
      <c r="C27" s="3" t="s">
        <v>387</v>
      </c>
      <c r="D27" s="3" t="s">
        <v>388</v>
      </c>
      <c r="E27" s="3">
        <v>648</v>
      </c>
    </row>
    <row r="28" spans="1:5" ht="15" customHeight="1" x14ac:dyDescent="0.2">
      <c r="A28" s="3">
        <v>1166</v>
      </c>
      <c r="B28" s="3" t="s">
        <v>389</v>
      </c>
      <c r="C28" s="3" t="s">
        <v>390</v>
      </c>
      <c r="D28" s="3" t="s">
        <v>391</v>
      </c>
      <c r="E28" s="3">
        <v>453</v>
      </c>
    </row>
    <row r="29" spans="1:5" ht="15" customHeight="1" x14ac:dyDescent="0.2">
      <c r="A29" s="3">
        <v>1128</v>
      </c>
      <c r="B29" s="3" t="s">
        <v>392</v>
      </c>
      <c r="C29" s="3" t="s">
        <v>393</v>
      </c>
      <c r="D29" s="3" t="s">
        <v>394</v>
      </c>
      <c r="E29" s="3">
        <v>2455</v>
      </c>
    </row>
    <row r="30" spans="1:5" ht="15" customHeight="1" x14ac:dyDescent="0.2">
      <c r="A30" s="3">
        <v>1099</v>
      </c>
      <c r="B30" s="3" t="s">
        <v>395</v>
      </c>
      <c r="C30" s="3" t="s">
        <v>396</v>
      </c>
      <c r="D30" s="3" t="s">
        <v>397</v>
      </c>
      <c r="E30" s="3">
        <v>193</v>
      </c>
    </row>
    <row r="31" spans="1:5" ht="15" customHeight="1" x14ac:dyDescent="0.2">
      <c r="A31" s="3">
        <v>800</v>
      </c>
      <c r="B31" s="3" t="s">
        <v>398</v>
      </c>
      <c r="C31" s="3" t="s">
        <v>399</v>
      </c>
      <c r="D31" s="3" t="s">
        <v>400</v>
      </c>
      <c r="E31" s="3">
        <v>68</v>
      </c>
    </row>
    <row r="32" spans="1:5" ht="15" customHeight="1" x14ac:dyDescent="0.2">
      <c r="A32" s="3">
        <v>541</v>
      </c>
      <c r="B32" s="3" t="s">
        <v>401</v>
      </c>
      <c r="C32" s="3" t="s">
        <v>402</v>
      </c>
      <c r="D32" s="3" t="s">
        <v>403</v>
      </c>
      <c r="E32" s="3">
        <v>20</v>
      </c>
    </row>
    <row r="33" spans="1:5" ht="15" customHeight="1" x14ac:dyDescent="0.2">
      <c r="A33" s="3">
        <v>548</v>
      </c>
      <c r="B33" s="3" t="s">
        <v>404</v>
      </c>
      <c r="C33" s="3" t="s">
        <v>405</v>
      </c>
      <c r="D33" s="3" t="s">
        <v>403</v>
      </c>
      <c r="E33" s="3">
        <v>41</v>
      </c>
    </row>
    <row r="34" spans="1:5" ht="15" customHeight="1" x14ac:dyDescent="0.2">
      <c r="A34" s="3">
        <v>550</v>
      </c>
      <c r="B34" s="3" t="s">
        <v>406</v>
      </c>
      <c r="C34" s="3" t="s">
        <v>407</v>
      </c>
      <c r="D34" s="3" t="s">
        <v>403</v>
      </c>
      <c r="E34" s="3">
        <v>40</v>
      </c>
    </row>
    <row r="35" spans="1:5" ht="15" customHeight="1" x14ac:dyDescent="0.2">
      <c r="A35" s="3">
        <v>552</v>
      </c>
      <c r="B35" s="3" t="s">
        <v>408</v>
      </c>
      <c r="C35" s="3" t="s">
        <v>409</v>
      </c>
      <c r="D35" s="3" t="s">
        <v>403</v>
      </c>
      <c r="E35" s="3">
        <v>32</v>
      </c>
    </row>
    <row r="36" spans="1:5" ht="15" customHeight="1" x14ac:dyDescent="0.2">
      <c r="A36" s="3">
        <v>563</v>
      </c>
      <c r="B36" s="3" t="s">
        <v>410</v>
      </c>
      <c r="C36" s="3" t="s">
        <v>411</v>
      </c>
      <c r="D36" s="3" t="s">
        <v>403</v>
      </c>
      <c r="E36" s="3">
        <v>45</v>
      </c>
    </row>
    <row r="37" spans="1:5" ht="15" customHeight="1" x14ac:dyDescent="0.2">
      <c r="A37" s="3">
        <v>568</v>
      </c>
      <c r="B37" s="3" t="s">
        <v>412</v>
      </c>
      <c r="C37" s="3" t="s">
        <v>413</v>
      </c>
      <c r="D37" s="3" t="s">
        <v>403</v>
      </c>
      <c r="E37" s="3">
        <v>118</v>
      </c>
    </row>
    <row r="38" spans="1:5" ht="15" customHeight="1" x14ac:dyDescent="0.2">
      <c r="A38" s="3">
        <v>583</v>
      </c>
      <c r="B38" s="3" t="s">
        <v>414</v>
      </c>
      <c r="C38" s="3" t="s">
        <v>415</v>
      </c>
      <c r="D38" s="3" t="s">
        <v>416</v>
      </c>
      <c r="E38" s="3">
        <v>83</v>
      </c>
    </row>
    <row r="39" spans="1:5" ht="15" customHeight="1" x14ac:dyDescent="0.2">
      <c r="A39" s="3">
        <v>238</v>
      </c>
      <c r="B39" s="3" t="s">
        <v>417</v>
      </c>
      <c r="C39" s="3" t="s">
        <v>418</v>
      </c>
      <c r="D39" s="3" t="s">
        <v>92</v>
      </c>
      <c r="E39" s="3">
        <v>494</v>
      </c>
    </row>
    <row r="40" spans="1:5" ht="15" customHeight="1" x14ac:dyDescent="0.2">
      <c r="A40" s="3">
        <v>240</v>
      </c>
      <c r="B40" s="3" t="s">
        <v>419</v>
      </c>
      <c r="C40" s="3" t="s">
        <v>420</v>
      </c>
      <c r="D40" s="3" t="s">
        <v>92</v>
      </c>
      <c r="E40" s="3">
        <v>270</v>
      </c>
    </row>
    <row r="41" spans="1:5" ht="15" customHeight="1" x14ac:dyDescent="0.2">
      <c r="A41" s="3">
        <v>242</v>
      </c>
      <c r="B41" s="3" t="s">
        <v>421</v>
      </c>
      <c r="C41" s="3" t="s">
        <v>422</v>
      </c>
      <c r="D41" s="3" t="s">
        <v>92</v>
      </c>
      <c r="E41" s="3">
        <v>291</v>
      </c>
    </row>
    <row r="42" spans="1:5" ht="15" customHeight="1" x14ac:dyDescent="0.2">
      <c r="A42" s="3">
        <v>244</v>
      </c>
      <c r="B42" s="3" t="s">
        <v>423</v>
      </c>
      <c r="C42" s="3" t="s">
        <v>424</v>
      </c>
      <c r="D42" s="3" t="s">
        <v>92</v>
      </c>
      <c r="E42" s="3">
        <v>288</v>
      </c>
    </row>
    <row r="43" spans="1:5" ht="15" customHeight="1" x14ac:dyDescent="0.2">
      <c r="A43" s="3">
        <v>267</v>
      </c>
      <c r="B43" s="3" t="s">
        <v>425</v>
      </c>
      <c r="C43" s="3" t="s">
        <v>426</v>
      </c>
      <c r="D43" s="3" t="s">
        <v>92</v>
      </c>
      <c r="E43" s="3">
        <v>30</v>
      </c>
    </row>
    <row r="44" spans="1:5" ht="23.75" customHeight="1" x14ac:dyDescent="0.2">
      <c r="A44" s="3">
        <v>277</v>
      </c>
      <c r="B44" s="3" t="s">
        <v>427</v>
      </c>
      <c r="C44" s="3" t="s">
        <v>428</v>
      </c>
      <c r="D44" s="3" t="s">
        <v>92</v>
      </c>
      <c r="E44" s="3">
        <v>516</v>
      </c>
    </row>
    <row r="45" spans="1:5" ht="15" customHeight="1" x14ac:dyDescent="0.2">
      <c r="A45" s="3">
        <v>288</v>
      </c>
      <c r="B45" s="3" t="s">
        <v>429</v>
      </c>
      <c r="C45" s="3" t="s">
        <v>430</v>
      </c>
      <c r="D45" s="3" t="s">
        <v>92</v>
      </c>
      <c r="E45" s="3">
        <v>115</v>
      </c>
    </row>
    <row r="46" spans="1:5" ht="15" customHeight="1" x14ac:dyDescent="0.2">
      <c r="A46" s="3">
        <v>293</v>
      </c>
      <c r="B46" s="3" t="s">
        <v>431</v>
      </c>
      <c r="C46" s="3" t="s">
        <v>432</v>
      </c>
      <c r="D46" s="3" t="s">
        <v>92</v>
      </c>
      <c r="E46" s="3">
        <v>151</v>
      </c>
    </row>
    <row r="47" spans="1:5" ht="15" customHeight="1" x14ac:dyDescent="0.2">
      <c r="A47" s="3">
        <v>316</v>
      </c>
      <c r="B47" s="3" t="s">
        <v>433</v>
      </c>
      <c r="C47" s="3" t="s">
        <v>434</v>
      </c>
      <c r="D47" s="3" t="s">
        <v>92</v>
      </c>
      <c r="E47" s="3">
        <v>438</v>
      </c>
    </row>
    <row r="48" spans="1:5" ht="15" customHeight="1" x14ac:dyDescent="0.2">
      <c r="A48" s="3">
        <v>329</v>
      </c>
      <c r="B48" s="3" t="s">
        <v>435</v>
      </c>
      <c r="C48" s="3" t="s">
        <v>436</v>
      </c>
      <c r="D48" s="3" t="s">
        <v>92</v>
      </c>
      <c r="E48" s="3">
        <v>542</v>
      </c>
    </row>
    <row r="49" spans="1:5" ht="15" customHeight="1" x14ac:dyDescent="0.2">
      <c r="A49" s="3">
        <v>360</v>
      </c>
      <c r="B49" s="3" t="s">
        <v>437</v>
      </c>
      <c r="C49" s="3" t="s">
        <v>438</v>
      </c>
      <c r="D49" s="3" t="s">
        <v>92</v>
      </c>
      <c r="E49" s="3">
        <v>725</v>
      </c>
    </row>
    <row r="50" spans="1:5" ht="15" customHeight="1" x14ac:dyDescent="0.2">
      <c r="A50" s="3">
        <v>387</v>
      </c>
      <c r="B50" s="3" t="s">
        <v>439</v>
      </c>
      <c r="C50" s="3" t="s">
        <v>440</v>
      </c>
      <c r="D50" s="3" t="s">
        <v>92</v>
      </c>
      <c r="E50" s="3">
        <v>515</v>
      </c>
    </row>
    <row r="51" spans="1:5" ht="15" customHeight="1" x14ac:dyDescent="0.2">
      <c r="A51" s="3">
        <v>393</v>
      </c>
      <c r="B51" s="3" t="s">
        <v>441</v>
      </c>
      <c r="C51" s="3" t="s">
        <v>442</v>
      </c>
      <c r="D51" s="3" t="s">
        <v>92</v>
      </c>
      <c r="E51" s="3">
        <v>496</v>
      </c>
    </row>
    <row r="52" spans="1:5" ht="15" customHeight="1" x14ac:dyDescent="0.2">
      <c r="A52" s="3">
        <v>471</v>
      </c>
      <c r="B52" s="3" t="s">
        <v>443</v>
      </c>
      <c r="C52" s="3" t="s">
        <v>444</v>
      </c>
      <c r="D52" s="3" t="s">
        <v>92</v>
      </c>
      <c r="E52" s="3">
        <v>332</v>
      </c>
    </row>
    <row r="53" spans="1:5" ht="15" customHeight="1" x14ac:dyDescent="0.2">
      <c r="A53" s="3">
        <v>482</v>
      </c>
      <c r="B53" s="3" t="s">
        <v>445</v>
      </c>
      <c r="C53" s="3" t="s">
        <v>446</v>
      </c>
      <c r="D53" s="3" t="s">
        <v>92</v>
      </c>
      <c r="E53" s="3">
        <v>367</v>
      </c>
    </row>
    <row r="54" spans="1:5" ht="15" customHeight="1" x14ac:dyDescent="0.2">
      <c r="A54" s="3">
        <v>492</v>
      </c>
      <c r="B54" s="3" t="s">
        <v>447</v>
      </c>
      <c r="C54" s="3" t="s">
        <v>448</v>
      </c>
      <c r="D54" s="3" t="s">
        <v>92</v>
      </c>
      <c r="E54" s="3">
        <v>720</v>
      </c>
    </row>
    <row r="55" spans="1:5" ht="15" customHeight="1" x14ac:dyDescent="0.2">
      <c r="A55" s="3">
        <v>497</v>
      </c>
      <c r="B55" s="3" t="s">
        <v>449</v>
      </c>
      <c r="C55" s="3" t="s">
        <v>450</v>
      </c>
      <c r="D55" s="3" t="s">
        <v>92</v>
      </c>
      <c r="E55" s="3">
        <v>58</v>
      </c>
    </row>
    <row r="56" spans="1:5" ht="15" customHeight="1" x14ac:dyDescent="0.2">
      <c r="A56" s="3">
        <v>507</v>
      </c>
      <c r="B56" s="3" t="s">
        <v>451</v>
      </c>
      <c r="C56" s="3" t="s">
        <v>452</v>
      </c>
      <c r="D56" s="3" t="s">
        <v>92</v>
      </c>
      <c r="E56" s="3">
        <v>474</v>
      </c>
    </row>
    <row r="57" spans="1:5" ht="15" customHeight="1" x14ac:dyDescent="0.2">
      <c r="A57" s="3">
        <v>522</v>
      </c>
      <c r="B57" s="3" t="s">
        <v>453</v>
      </c>
      <c r="C57" s="3" t="s">
        <v>454</v>
      </c>
      <c r="D57" s="3" t="s">
        <v>92</v>
      </c>
      <c r="E57" s="3">
        <v>29</v>
      </c>
    </row>
    <row r="58" spans="1:5" ht="15" customHeight="1" x14ac:dyDescent="0.2">
      <c r="A58" s="3">
        <v>528</v>
      </c>
      <c r="B58" s="3" t="s">
        <v>455</v>
      </c>
      <c r="C58" s="3" t="s">
        <v>456</v>
      </c>
      <c r="D58" s="3" t="s">
        <v>92</v>
      </c>
      <c r="E58" s="3">
        <v>35</v>
      </c>
    </row>
    <row r="59" spans="1:5" ht="15" customHeight="1" x14ac:dyDescent="0.2">
      <c r="A59" s="3">
        <v>544</v>
      </c>
      <c r="B59" s="3" t="s">
        <v>457</v>
      </c>
      <c r="C59" s="3" t="s">
        <v>458</v>
      </c>
      <c r="D59" s="3" t="s">
        <v>92</v>
      </c>
      <c r="E59" s="3">
        <v>60</v>
      </c>
    </row>
    <row r="60" spans="1:5" ht="15" customHeight="1" x14ac:dyDescent="0.2">
      <c r="A60" s="3">
        <v>560</v>
      </c>
      <c r="B60" s="3" t="s">
        <v>459</v>
      </c>
      <c r="C60" s="3" t="s">
        <v>460</v>
      </c>
      <c r="D60" s="3" t="s">
        <v>92</v>
      </c>
      <c r="E60" s="3">
        <v>32</v>
      </c>
    </row>
    <row r="61" spans="1:5" ht="15" customHeight="1" x14ac:dyDescent="0.2">
      <c r="A61" s="3">
        <v>592</v>
      </c>
      <c r="B61" s="3" t="s">
        <v>461</v>
      </c>
      <c r="C61" s="3" t="s">
        <v>462</v>
      </c>
      <c r="D61" s="3" t="s">
        <v>92</v>
      </c>
      <c r="E61" s="3">
        <v>678</v>
      </c>
    </row>
    <row r="62" spans="1:5" ht="15" customHeight="1" x14ac:dyDescent="0.2">
      <c r="A62" s="3">
        <v>619</v>
      </c>
      <c r="B62" s="3" t="s">
        <v>463</v>
      </c>
      <c r="C62" s="3" t="s">
        <v>464</v>
      </c>
      <c r="D62" s="3" t="s">
        <v>465</v>
      </c>
      <c r="E62" s="3">
        <v>213</v>
      </c>
    </row>
    <row r="63" spans="1:5" ht="15" customHeight="1" x14ac:dyDescent="0.2">
      <c r="A63" s="3">
        <v>511</v>
      </c>
      <c r="B63" s="3" t="s">
        <v>466</v>
      </c>
      <c r="C63" s="3" t="s">
        <v>467</v>
      </c>
      <c r="D63" s="3" t="s">
        <v>468</v>
      </c>
      <c r="E63" s="3">
        <v>250</v>
      </c>
    </row>
  </sheetData>
  <autoFilter ref="A2:E63" xr:uid="{00000000-0009-0000-0000-000003000000}"/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45" customWidth="1"/>
    <col min="2" max="2" width="95" customWidth="1"/>
  </cols>
  <sheetData>
    <row r="1" spans="1:2" ht="27.75" customHeight="1" x14ac:dyDescent="0.2">
      <c r="A1" s="30" t="s">
        <v>469</v>
      </c>
      <c r="B1" s="31"/>
    </row>
    <row r="2" spans="1:2" ht="15" customHeight="1" x14ac:dyDescent="0.2">
      <c r="A2" s="29" t="s">
        <v>470</v>
      </c>
      <c r="B2" s="3" t="s">
        <v>471</v>
      </c>
    </row>
    <row r="3" spans="1:2" ht="15" customHeight="1" x14ac:dyDescent="0.2">
      <c r="A3" s="29" t="s">
        <v>472</v>
      </c>
      <c r="B3" s="3" t="s">
        <v>473</v>
      </c>
    </row>
    <row r="4" spans="1:2" ht="15" customHeight="1" x14ac:dyDescent="0.2">
      <c r="A4" s="29" t="s">
        <v>474</v>
      </c>
      <c r="B4" s="3" t="s">
        <v>475</v>
      </c>
    </row>
    <row r="5" spans="1:2" ht="15" customHeight="1" x14ac:dyDescent="0.2">
      <c r="A5" s="29" t="s">
        <v>476</v>
      </c>
      <c r="B5" s="3" t="s">
        <v>477</v>
      </c>
    </row>
    <row r="6" spans="1:2" ht="15" customHeight="1" x14ac:dyDescent="0.2">
      <c r="A6" s="29" t="s">
        <v>478</v>
      </c>
      <c r="B6" s="3" t="s">
        <v>479</v>
      </c>
    </row>
    <row r="7" spans="1:2" ht="15" customHeight="1" x14ac:dyDescent="0.2">
      <c r="A7" s="3"/>
      <c r="B7" s="3"/>
    </row>
    <row r="8" spans="1:2" ht="15" customHeight="1" x14ac:dyDescent="0.2">
      <c r="A8" s="3" t="s">
        <v>480</v>
      </c>
      <c r="B8" s="3"/>
    </row>
    <row r="9" spans="1:2" ht="15" customHeight="1" x14ac:dyDescent="0.2">
      <c r="A9" s="3" t="s">
        <v>481</v>
      </c>
      <c r="B9" s="3" t="s">
        <v>482</v>
      </c>
    </row>
    <row r="10" spans="1:2" ht="15" customHeight="1" x14ac:dyDescent="0.2">
      <c r="A10" s="3" t="s">
        <v>483</v>
      </c>
      <c r="B10" s="3" t="s">
        <v>484</v>
      </c>
    </row>
    <row r="11" spans="1:2" ht="15" customHeight="1" x14ac:dyDescent="0.2">
      <c r="A11" s="3" t="s">
        <v>485</v>
      </c>
      <c r="B11" s="3" t="s">
        <v>486</v>
      </c>
    </row>
    <row r="12" spans="1:2" ht="15" customHeight="1" x14ac:dyDescent="0.2">
      <c r="A12" s="3" t="s">
        <v>487</v>
      </c>
      <c r="B12" s="3" t="s">
        <v>488</v>
      </c>
    </row>
    <row r="13" spans="1:2" ht="15" customHeight="1" x14ac:dyDescent="0.2">
      <c r="A13" s="3"/>
      <c r="B13" s="3"/>
    </row>
    <row r="14" spans="1:2" ht="15" customHeight="1" x14ac:dyDescent="0.2">
      <c r="A14" s="3" t="s">
        <v>489</v>
      </c>
      <c r="B14" s="3"/>
    </row>
    <row r="15" spans="1:2" ht="15" customHeight="1" x14ac:dyDescent="0.2">
      <c r="A15" s="3" t="s">
        <v>490</v>
      </c>
      <c r="B15" s="3" t="s">
        <v>491</v>
      </c>
    </row>
    <row r="16" spans="1:2" ht="15" customHeight="1" x14ac:dyDescent="0.2">
      <c r="A16" s="3" t="s">
        <v>492</v>
      </c>
      <c r="B16" s="3" t="s">
        <v>493</v>
      </c>
    </row>
    <row r="17" spans="1:2" ht="15" customHeight="1" x14ac:dyDescent="0.2">
      <c r="A17" s="3" t="s">
        <v>494</v>
      </c>
      <c r="B17" s="3" t="s">
        <v>495</v>
      </c>
    </row>
    <row r="18" spans="1:2" ht="15" customHeight="1" x14ac:dyDescent="0.2">
      <c r="A18" s="3" t="s">
        <v>496</v>
      </c>
      <c r="B18" s="3" t="s">
        <v>497</v>
      </c>
    </row>
    <row r="19" spans="1:2" ht="15" customHeight="1" x14ac:dyDescent="0.2">
      <c r="A19" s="3" t="s">
        <v>498</v>
      </c>
      <c r="B19" s="3" t="s">
        <v>499</v>
      </c>
    </row>
    <row r="20" spans="1:2" ht="15" customHeight="1" x14ac:dyDescent="0.2">
      <c r="A20" s="3" t="s">
        <v>500</v>
      </c>
      <c r="B20" s="3" t="s">
        <v>501</v>
      </c>
    </row>
    <row r="21" spans="1:2" ht="23.75" customHeight="1" x14ac:dyDescent="0.2">
      <c r="A21" s="3" t="s">
        <v>502</v>
      </c>
      <c r="B21" s="3" t="s">
        <v>503</v>
      </c>
    </row>
    <row r="22" spans="1:2" ht="15" customHeight="1" x14ac:dyDescent="0.2">
      <c r="A22" s="3"/>
      <c r="B22" s="3"/>
    </row>
    <row r="23" spans="1:2" ht="15" customHeight="1" x14ac:dyDescent="0.2">
      <c r="A23" s="3" t="s">
        <v>504</v>
      </c>
      <c r="B23" s="3"/>
    </row>
    <row r="24" spans="1:2" ht="23.75" customHeight="1" x14ac:dyDescent="0.2">
      <c r="A24" s="3" t="s">
        <v>505</v>
      </c>
      <c r="B24" s="3" t="s">
        <v>506</v>
      </c>
    </row>
    <row r="25" spans="1:2" ht="15" customHeight="1" x14ac:dyDescent="0.2">
      <c r="A25" s="3" t="s">
        <v>507</v>
      </c>
      <c r="B25" s="3" t="s">
        <v>508</v>
      </c>
    </row>
    <row r="26" spans="1:2" ht="15" customHeight="1" x14ac:dyDescent="0.2">
      <c r="A26" s="3" t="s">
        <v>509</v>
      </c>
      <c r="B26" s="3" t="s">
        <v>510</v>
      </c>
    </row>
    <row r="27" spans="1:2" ht="15" customHeight="1" x14ac:dyDescent="0.2">
      <c r="A27" s="3" t="s">
        <v>511</v>
      </c>
      <c r="B27" s="3" t="s">
        <v>512</v>
      </c>
    </row>
    <row r="28" spans="1:2" ht="15" customHeight="1" x14ac:dyDescent="0.2">
      <c r="A28" s="3"/>
      <c r="B28" s="3"/>
    </row>
    <row r="29" spans="1:2" ht="15" customHeight="1" x14ac:dyDescent="0.2">
      <c r="A29" s="3" t="s">
        <v>513</v>
      </c>
      <c r="B29" s="3"/>
    </row>
    <row r="30" spans="1:2" ht="15" customHeight="1" x14ac:dyDescent="0.2">
      <c r="A30" s="3" t="s">
        <v>514</v>
      </c>
      <c r="B30" s="3" t="s">
        <v>515</v>
      </c>
    </row>
    <row r="31" spans="1:2" ht="15" customHeight="1" x14ac:dyDescent="0.2">
      <c r="A31" s="3" t="s">
        <v>516</v>
      </c>
      <c r="B31" s="3" t="s">
        <v>517</v>
      </c>
    </row>
    <row r="32" spans="1:2" ht="15" customHeight="1" x14ac:dyDescent="0.2">
      <c r="A32" s="3" t="s">
        <v>518</v>
      </c>
      <c r="B32" s="3" t="s">
        <v>519</v>
      </c>
    </row>
    <row r="33" spans="1:2" ht="15" customHeight="1" x14ac:dyDescent="0.2">
      <c r="A33" s="3" t="s">
        <v>520</v>
      </c>
      <c r="B33" s="3" t="s">
        <v>521</v>
      </c>
    </row>
    <row r="34" spans="1:2" ht="15" customHeight="1" x14ac:dyDescent="0.2">
      <c r="A34" s="3"/>
      <c r="B34" s="3"/>
    </row>
    <row r="35" spans="1:2" ht="15" customHeight="1" x14ac:dyDescent="0.2">
      <c r="A35" s="3" t="s">
        <v>522</v>
      </c>
      <c r="B35" s="3"/>
    </row>
    <row r="36" spans="1:2" ht="15" customHeight="1" x14ac:dyDescent="0.2">
      <c r="A36" s="3" t="s">
        <v>523</v>
      </c>
      <c r="B36" s="3" t="s">
        <v>524</v>
      </c>
    </row>
    <row r="37" spans="1:2" ht="23.75" customHeight="1" x14ac:dyDescent="0.2">
      <c r="A37" s="3" t="s">
        <v>525</v>
      </c>
      <c r="B37" s="3" t="s">
        <v>526</v>
      </c>
    </row>
    <row r="39" spans="1:2" x14ac:dyDescent="0.2">
      <c r="A39" t="s">
        <v>527</v>
      </c>
    </row>
    <row r="40" spans="1:2" x14ac:dyDescent="0.2">
      <c r="A40" t="s">
        <v>528</v>
      </c>
      <c r="B40" t="s">
        <v>529</v>
      </c>
    </row>
    <row r="41" spans="1:2" x14ac:dyDescent="0.2">
      <c r="A41" t="s">
        <v>530</v>
      </c>
      <c r="B41" t="s">
        <v>531</v>
      </c>
    </row>
    <row r="42" spans="1:2" x14ac:dyDescent="0.2">
      <c r="A42" t="s">
        <v>532</v>
      </c>
      <c r="B42" t="s">
        <v>533</v>
      </c>
    </row>
    <row r="44" spans="1:2" x14ac:dyDescent="0.2">
      <c r="A44" t="s">
        <v>534</v>
      </c>
    </row>
    <row r="45" spans="1:2" x14ac:dyDescent="0.2">
      <c r="A45" t="s">
        <v>535</v>
      </c>
      <c r="B45" t="s">
        <v>536</v>
      </c>
    </row>
    <row r="46" spans="1:2" x14ac:dyDescent="0.2">
      <c r="A46" t="s">
        <v>537</v>
      </c>
      <c r="B46" t="s">
        <v>538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Audit</vt:lpstr>
      <vt:lpstr>Forms Inventory</vt:lpstr>
      <vt:lpstr>Drafts (14)</vt:lpstr>
      <vt:lpstr>Blog Posts (61)</vt:lpstr>
      <vt:lpstr>Key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Martin</cp:lastModifiedBy>
  <cp:revision>0</cp:revision>
  <dcterms:created xsi:type="dcterms:W3CDTF">2026-04-28T19:02:50Z</dcterms:created>
  <dcterms:modified xsi:type="dcterms:W3CDTF">2026-06-05T19:00:20Z</dcterms:modified>
  <dc:language>en-US</dc:language>
</cp:coreProperties>
</file>